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printerSettings/printerSettings2.bin" ContentType="application/vnd.openxmlformats-officedocument.spreadsheetml.printerSettings"/>
  <Override PartName="/xl/drawings/drawing4.xml" ContentType="application/vnd.openxmlformats-officedocument.drawing+xml"/>
  <Override PartName="/xl/activeX/activeX3.xml" ContentType="application/vnd.ms-office.activeX+xml"/>
  <Override PartName="/xl/activeX/activeX4.xml" ContentType="application/vnd.ms-office.activeX+xml"/>
  <Override PartName="/xl/drawings/drawing5.xml" ContentType="application/vnd.openxmlformats-officedocument.drawing+xml"/>
  <Override PartName="/xl/drawings/drawing6.xml" ContentType="application/vnd.openxmlformats-officedocument.drawing+xml"/>
  <Override PartName="/xl/activeX/activeX5.xml" ContentType="application/vnd.ms-office.activeX+xml"/>
  <Override PartName="/xl/activeX/activeX6.xml" ContentType="application/vnd.ms-office.activeX+xml"/>
  <Override PartName="/xl/printerSettings/printerSettings3.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printerSettings/printerSettings4.bin" ContentType="application/vnd.openxmlformats-officedocument.spreadsheetml.printerSettings"/>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razz\arwashbu$\MyDocs\Combat book\CombatDownload\"/>
    </mc:Choice>
  </mc:AlternateContent>
  <bookViews>
    <workbookView xWindow="0" yWindow="0" windowWidth="21570" windowHeight="9420"/>
  </bookViews>
  <sheets>
    <sheet name="EVA" sheetId="17" r:id="rId1"/>
    <sheet name="DPShooter" sheetId="16" r:id="rId2"/>
    <sheet name="3CAL " sheetId="18" r:id="rId3"/>
    <sheet name="Optimal" sheetId="10" r:id="rId4"/>
    <sheet name="LP_Upper" sheetId="11" r:id="rId5"/>
    <sheet name="DPDefender" sheetId="13" r:id="rId6"/>
    <sheet name="MaxCost" sheetId="14" r:id="rId7"/>
    <sheet name="PrimRead" sheetId="5" r:id="rId8"/>
    <sheet name="Exercise 6" sheetId="20" r:id="rId9"/>
  </sheets>
  <functionGroups builtInGroupCount="18"/>
  <externalReferences>
    <externalReference r:id="rId10"/>
    <externalReference r:id="rId11"/>
  </externalReferences>
  <definedNames>
    <definedName name="_use1" localSheetId="5">DPDefender!$K$2:$R$14</definedName>
    <definedName name="_use1" localSheetId="1">DPShooter!$K$2:$R$14</definedName>
    <definedName name="_use2" localSheetId="5">DPDefender!$K$17:$R$29</definedName>
    <definedName name="_use2" localSheetId="1">DPShooter!$K$17:$R$29</definedName>
    <definedName name="_use3" localSheetId="5">DPDefender!$K$32:$R$44</definedName>
    <definedName name="_use3" localSheetId="1">DPShooter!$K$32:$R$44</definedName>
    <definedName name="_use4" localSheetId="5">DPDefender!$K$47:$R$59</definedName>
    <definedName name="_use4" localSheetId="1">DPShooter!$K$47:$R$59</definedName>
    <definedName name="ALP">LP_Upper!$A$1:$B$2</definedName>
    <definedName name="anscount" hidden="1">1</definedName>
    <definedName name="func1" localSheetId="5">DPDefender!$B$2:$I$14</definedName>
    <definedName name="func1" localSheetId="1">DPShooter!$B$2:$I$14</definedName>
    <definedName name="func2" localSheetId="5">DPDefender!$B$17:$I$29</definedName>
    <definedName name="func2" localSheetId="1">DPShooter!$B$17:$I$29</definedName>
    <definedName name="func3" localSheetId="5">DPDefender!$B$32:$I$44</definedName>
    <definedName name="func3" localSheetId="1">DPShooter!$B$32:$I$44</definedName>
    <definedName name="func4" localSheetId="5">DPDefender!$B$47:$I$59</definedName>
    <definedName name="func4" localSheetId="1">DPShooter!$B$47:$I$59</definedName>
    <definedName name="inputs" localSheetId="4">OFFSET([1]DG!$A$2,0,0,COUNT([1]DG!$A$1:$A$65536),7)</definedName>
    <definedName name="inputs" localSheetId="3">OFFSET([1]DG!$A$2,0,0,COUNT([1]DG!$A$1:$A$65536),7)</definedName>
    <definedName name="inputs">OFFSET([2]DGPattn!$A$2,0,0,COUNT([2]DGPattn!$A$1:$A$65536),7)</definedName>
    <definedName name="lambda">PrimRead!$I$3</definedName>
    <definedName name="p">PrimRead!$I$1</definedName>
    <definedName name="rho">PrimRead!$I$2</definedName>
    <definedName name="sencount" hidden="1">4</definedName>
    <definedName name="solver_adj" localSheetId="0" hidden="1">EVA!$C$2:$C$4</definedName>
    <definedName name="solver_adj" localSheetId="4" hidden="1">LP_Upper!$A$4:$B$5</definedName>
    <definedName name="solver_cvg" localSheetId="0" hidden="1">0.0001</definedName>
    <definedName name="solver_cvg" localSheetId="4" hidden="1">0.0001</definedName>
    <definedName name="solver_cvg" localSheetId="3" hidden="1">0.001</definedName>
    <definedName name="solver_drv" localSheetId="0" hidden="1">1</definedName>
    <definedName name="solver_drv" localSheetId="4" hidden="1">1</definedName>
    <definedName name="solver_drv" localSheetId="3" hidden="1">1</definedName>
    <definedName name="solver_eng" localSheetId="0" hidden="1">1</definedName>
    <definedName name="solver_eng" localSheetId="4" hidden="1">2</definedName>
    <definedName name="solver_est" localSheetId="0" hidden="1">1</definedName>
    <definedName name="solver_est" localSheetId="4" hidden="1">1</definedName>
    <definedName name="solver_est" localSheetId="3" hidden="1">1</definedName>
    <definedName name="solver_itr" localSheetId="0" hidden="1">100</definedName>
    <definedName name="solver_itr" localSheetId="4" hidden="1">100</definedName>
    <definedName name="solver_itr" localSheetId="3" hidden="1">100</definedName>
    <definedName name="solver_lhs1" localSheetId="0" hidden="1">EVA!$C$2:$C$4</definedName>
    <definedName name="solver_lhs1" localSheetId="4" hidden="1">LP_Upper!$A$8:$B$8</definedName>
    <definedName name="solver_lhs1" localSheetId="3" hidden="1">Optimal!$C$4</definedName>
    <definedName name="solver_lhs2" localSheetId="0" hidden="1">EVA!$C$5</definedName>
    <definedName name="solver_lhs2" localSheetId="4" hidden="1">LP_Upper!$D$4:$D$5</definedName>
    <definedName name="solver_lhs2" localSheetId="3" hidden="1">Optimal!$C$1</definedName>
    <definedName name="solver_lin" localSheetId="0" hidden="1">2</definedName>
    <definedName name="solver_lin" localSheetId="4" hidden="1">1</definedName>
    <definedName name="solver_lin" localSheetId="3" hidden="1">1</definedName>
    <definedName name="solver_mip" localSheetId="0" hidden="1">2147483647</definedName>
    <definedName name="solver_mip" localSheetId="4" hidden="1">2147483647</definedName>
    <definedName name="solver_mni" localSheetId="0" hidden="1">30</definedName>
    <definedName name="solver_mni" localSheetId="4" hidden="1">30</definedName>
    <definedName name="solver_mrt" localSheetId="0" hidden="1">0.075</definedName>
    <definedName name="solver_mrt" localSheetId="4" hidden="1">0.075</definedName>
    <definedName name="solver_msl" localSheetId="0" hidden="1">2</definedName>
    <definedName name="solver_msl" localSheetId="4" hidden="1">2</definedName>
    <definedName name="solver_neg" localSheetId="0" hidden="1">2</definedName>
    <definedName name="solver_neg" localSheetId="4" hidden="1">1</definedName>
    <definedName name="solver_neg" localSheetId="3" hidden="1">1</definedName>
    <definedName name="solver_nod" localSheetId="0" hidden="1">2147483647</definedName>
    <definedName name="solver_nod" localSheetId="4" hidden="1">2147483647</definedName>
    <definedName name="solver_num" localSheetId="0" hidden="1">2</definedName>
    <definedName name="solver_num" localSheetId="4" hidden="1">2</definedName>
    <definedName name="solver_num" localSheetId="3" hidden="1">2</definedName>
    <definedName name="solver_nwt" localSheetId="0" hidden="1">1</definedName>
    <definedName name="solver_nwt" localSheetId="4" hidden="1">1</definedName>
    <definedName name="solver_nwt" localSheetId="3" hidden="1">1</definedName>
    <definedName name="solver_opt" localSheetId="0" hidden="1">EVA!$D$4</definedName>
    <definedName name="solver_opt" localSheetId="4" hidden="1">LP_Upper!$D$8</definedName>
    <definedName name="solver_opt" localSheetId="3" hidden="1">Optimal!$C$2</definedName>
    <definedName name="solver_pre" localSheetId="0" hidden="1">0.000001</definedName>
    <definedName name="solver_pre" localSheetId="4" hidden="1">0.000001</definedName>
    <definedName name="solver_pre" localSheetId="3" hidden="1">0.000001</definedName>
    <definedName name="solver_rbv" localSheetId="0" hidden="1">1</definedName>
    <definedName name="solver_rbv" localSheetId="4" hidden="1">1</definedName>
    <definedName name="solver_rel1" localSheetId="0" hidden="1">3</definedName>
    <definedName name="solver_rel1" localSheetId="4" hidden="1">1</definedName>
    <definedName name="solver_rel1" localSheetId="3" hidden="1">2</definedName>
    <definedName name="solver_rel2" localSheetId="0" hidden="1">1</definedName>
    <definedName name="solver_rel2" localSheetId="4" hidden="1">1</definedName>
    <definedName name="solver_rel2" localSheetId="3" hidden="1">1</definedName>
    <definedName name="solver_rhs1" localSheetId="0" hidden="1">0</definedName>
    <definedName name="solver_rhs1" localSheetId="4" hidden="1">1</definedName>
    <definedName name="solver_rhs1" localSheetId="3" hidden="1">1</definedName>
    <definedName name="solver_rhs2" localSheetId="0" hidden="1">EVA!$G$1</definedName>
    <definedName name="solver_rhs2" localSheetId="4" hidden="1">1</definedName>
    <definedName name="solver_rhs2" localSheetId="3" hidden="1">0</definedName>
    <definedName name="solver_rlx" localSheetId="0" hidden="1">1</definedName>
    <definedName name="solver_rlx" localSheetId="4" hidden="1">1</definedName>
    <definedName name="solver_rsd" localSheetId="0" hidden="1">0</definedName>
    <definedName name="solver_rsd" localSheetId="4" hidden="1">0</definedName>
    <definedName name="solver_scl" localSheetId="0" hidden="1">2</definedName>
    <definedName name="solver_scl" localSheetId="4" hidden="1">2</definedName>
    <definedName name="solver_scl" localSheetId="3" hidden="1">2</definedName>
    <definedName name="solver_sho" localSheetId="0" hidden="1">2</definedName>
    <definedName name="solver_sho" localSheetId="4" hidden="1">2</definedName>
    <definedName name="solver_sho" localSheetId="3" hidden="1">2</definedName>
    <definedName name="solver_ssz" localSheetId="0" hidden="1">100</definedName>
    <definedName name="solver_ssz" localSheetId="4" hidden="1">100</definedName>
    <definedName name="solver_tim" localSheetId="0" hidden="1">100</definedName>
    <definedName name="solver_tim" localSheetId="4" hidden="1">100</definedName>
    <definedName name="solver_tim" localSheetId="3" hidden="1">100</definedName>
    <definedName name="solver_tol" localSheetId="0" hidden="1">0.05</definedName>
    <definedName name="solver_tol" localSheetId="4" hidden="1">0.05</definedName>
    <definedName name="solver_tol" localSheetId="3" hidden="1">0.05</definedName>
    <definedName name="solver_typ" localSheetId="0" hidden="1">2</definedName>
    <definedName name="solver_typ" localSheetId="4" hidden="1">1</definedName>
    <definedName name="solver_typ" localSheetId="3" hidden="1">2</definedName>
    <definedName name="solver_val" localSheetId="0" hidden="1">0</definedName>
    <definedName name="solver_val" localSheetId="4" hidden="1">0</definedName>
    <definedName name="solver_val" localSheetId="3" hidden="1">0</definedName>
    <definedName name="solver_ver" localSheetId="0" hidden="1">3</definedName>
    <definedName name="solver_ver" localSheetId="4" hidden="1">3</definedName>
    <definedName name="USELP">LP_Upper!$D$4:$D$5</definedName>
    <definedName name="VLP">LP_Upper!$A$7:$B$7</definedName>
    <definedName name="XLP">LP_Upper!$A$4:$B$5</definedName>
    <definedName name="YLP">LP_Upper!$A$8:$B$8</definedName>
    <definedName name="ZLP">LP_Upper!$D$8</definedName>
  </definedNames>
  <calcPr calcId="162913"/>
</workbook>
</file>

<file path=xl/calcChain.xml><?xml version="1.0" encoding="utf-8"?>
<calcChain xmlns="http://schemas.openxmlformats.org/spreadsheetml/2006/main">
  <c r="E18" i="20" l="1"/>
  <c r="G20" i="20"/>
  <c r="C17" i="20"/>
  <c r="C20" i="20"/>
  <c r="C16" i="20"/>
  <c r="G28" i="20"/>
  <c r="F28" i="20"/>
  <c r="F20" i="20" s="1"/>
  <c r="E28" i="20"/>
  <c r="E19" i="20" s="1"/>
  <c r="D28" i="20"/>
  <c r="D19" i="20" s="1"/>
  <c r="C28" i="20"/>
  <c r="C18" i="20" s="1"/>
  <c r="B22" i="20"/>
  <c r="L6" i="20"/>
  <c r="M5" i="20"/>
  <c r="B1" i="20" s="1"/>
  <c r="D4" i="11"/>
  <c r="D5" i="11"/>
  <c r="A8" i="11"/>
  <c r="D8" i="11" s="1"/>
  <c r="B8" i="11"/>
  <c r="B2" i="5"/>
  <c r="C2" i="5"/>
  <c r="D2" i="5" s="1"/>
  <c r="E2" i="5"/>
  <c r="E3" i="5"/>
  <c r="E4" i="5"/>
  <c r="E5" i="5"/>
  <c r="E6" i="5"/>
  <c r="E7" i="5"/>
  <c r="E8" i="5"/>
  <c r="E9" i="5"/>
  <c r="E10" i="5"/>
  <c r="B1" i="14"/>
  <c r="B7" i="14" s="1"/>
  <c r="B4" i="14"/>
  <c r="C1" i="14"/>
  <c r="C5" i="14" s="1"/>
  <c r="B5" i="14"/>
  <c r="D1" i="14" s="1"/>
  <c r="B15" i="14"/>
  <c r="B2" i="13"/>
  <c r="C2" i="13"/>
  <c r="D2" i="13"/>
  <c r="E2" i="13"/>
  <c r="F2" i="13"/>
  <c r="G2" i="13"/>
  <c r="H2" i="13"/>
  <c r="I2" i="13"/>
  <c r="B3" i="13"/>
  <c r="C3" i="13"/>
  <c r="D3" i="13"/>
  <c r="E3" i="13"/>
  <c r="F3" i="13"/>
  <c r="G3" i="13"/>
  <c r="H3" i="13"/>
  <c r="I3" i="13"/>
  <c r="B4" i="13"/>
  <c r="C4" i="13"/>
  <c r="D4" i="13"/>
  <c r="E4" i="13"/>
  <c r="F4" i="13"/>
  <c r="G4" i="13"/>
  <c r="H4" i="13"/>
  <c r="I4" i="13"/>
  <c r="B5" i="13"/>
  <c r="C5" i="13"/>
  <c r="D5" i="13"/>
  <c r="E5" i="13"/>
  <c r="F5" i="13"/>
  <c r="G5" i="13"/>
  <c r="H5" i="13"/>
  <c r="I5" i="13"/>
  <c r="B6" i="13"/>
  <c r="C6" i="13"/>
  <c r="D6" i="13"/>
  <c r="E6" i="13"/>
  <c r="F6" i="13"/>
  <c r="G6" i="13"/>
  <c r="H6" i="13"/>
  <c r="I6" i="13"/>
  <c r="B7" i="13"/>
  <c r="C7" i="13"/>
  <c r="D7" i="13"/>
  <c r="E7" i="13"/>
  <c r="F7" i="13"/>
  <c r="G7" i="13"/>
  <c r="H7" i="13"/>
  <c r="I7" i="13"/>
  <c r="B8" i="13"/>
  <c r="C8" i="13"/>
  <c r="D8" i="13"/>
  <c r="E8" i="13"/>
  <c r="F8" i="13"/>
  <c r="G8" i="13"/>
  <c r="H8" i="13"/>
  <c r="I8" i="13"/>
  <c r="B9" i="13"/>
  <c r="C9" i="13"/>
  <c r="D9" i="13"/>
  <c r="E9" i="13"/>
  <c r="F9" i="13"/>
  <c r="G9" i="13"/>
  <c r="H9" i="13"/>
  <c r="I9" i="13"/>
  <c r="B10" i="13"/>
  <c r="C10" i="13"/>
  <c r="D10" i="13"/>
  <c r="E10" i="13"/>
  <c r="F10" i="13"/>
  <c r="G10" i="13"/>
  <c r="H10" i="13"/>
  <c r="I10" i="13"/>
  <c r="B11" i="13"/>
  <c r="C11" i="13"/>
  <c r="D11" i="13"/>
  <c r="E11" i="13"/>
  <c r="F11" i="13"/>
  <c r="G11" i="13"/>
  <c r="H11" i="13"/>
  <c r="I11" i="13"/>
  <c r="B12" i="13"/>
  <c r="C12" i="13"/>
  <c r="D12" i="13"/>
  <c r="E12" i="13"/>
  <c r="F12" i="13"/>
  <c r="G12" i="13"/>
  <c r="H12" i="13"/>
  <c r="I12" i="13"/>
  <c r="B13" i="13"/>
  <c r="C13" i="13"/>
  <c r="D13" i="13"/>
  <c r="E13" i="13"/>
  <c r="F13" i="13"/>
  <c r="G13" i="13"/>
  <c r="H13" i="13"/>
  <c r="I13" i="13"/>
  <c r="B14" i="13"/>
  <c r="C14" i="13"/>
  <c r="D14" i="13"/>
  <c r="E14" i="13"/>
  <c r="F14" i="13"/>
  <c r="G14" i="13"/>
  <c r="H14" i="13"/>
  <c r="I14" i="13"/>
  <c r="C2" i="18"/>
  <c r="H4" i="18"/>
  <c r="C3" i="18"/>
  <c r="C4" i="18"/>
  <c r="C5" i="18"/>
  <c r="C6" i="18"/>
  <c r="C7" i="18"/>
  <c r="C8" i="18"/>
  <c r="C9" i="18"/>
  <c r="C10" i="18"/>
  <c r="C11" i="18"/>
  <c r="C2" i="16"/>
  <c r="D2" i="16"/>
  <c r="E2" i="16"/>
  <c r="F2" i="16"/>
  <c r="G2" i="16"/>
  <c r="H2" i="16"/>
  <c r="I2" i="16"/>
  <c r="B3" i="16"/>
  <c r="C3" i="16"/>
  <c r="D3" i="16"/>
  <c r="E3" i="16"/>
  <c r="F3" i="16"/>
  <c r="G3" i="16"/>
  <c r="H3" i="16"/>
  <c r="I3" i="16"/>
  <c r="B4" i="16"/>
  <c r="C4" i="16"/>
  <c r="D4" i="16"/>
  <c r="E4" i="16"/>
  <c r="F4" i="16"/>
  <c r="G4" i="16"/>
  <c r="H4" i="16"/>
  <c r="I4" i="16"/>
  <c r="B5" i="16"/>
  <c r="C5" i="16"/>
  <c r="D5" i="16"/>
  <c r="E5" i="16"/>
  <c r="F5" i="16"/>
  <c r="G5" i="16"/>
  <c r="H5" i="16"/>
  <c r="I5" i="16"/>
  <c r="B6" i="16"/>
  <c r="C6" i="16"/>
  <c r="D6" i="16"/>
  <c r="E6" i="16"/>
  <c r="F6" i="16"/>
  <c r="G6" i="16"/>
  <c r="H6" i="16"/>
  <c r="I6" i="16"/>
  <c r="B7" i="16"/>
  <c r="C7" i="16"/>
  <c r="D7" i="16"/>
  <c r="E7" i="16"/>
  <c r="F7" i="16"/>
  <c r="G7" i="16"/>
  <c r="H7" i="16"/>
  <c r="I7" i="16"/>
  <c r="B8" i="16"/>
  <c r="C8" i="16"/>
  <c r="D8" i="16"/>
  <c r="E8" i="16"/>
  <c r="F8" i="16"/>
  <c r="G8" i="16"/>
  <c r="H8" i="16"/>
  <c r="I8" i="16"/>
  <c r="B9" i="16"/>
  <c r="C9" i="16"/>
  <c r="D9" i="16"/>
  <c r="E9" i="16"/>
  <c r="F9" i="16"/>
  <c r="G9" i="16"/>
  <c r="H9" i="16"/>
  <c r="I9" i="16"/>
  <c r="B10" i="16"/>
  <c r="C10" i="16"/>
  <c r="D10" i="16"/>
  <c r="E10" i="16"/>
  <c r="F10" i="16"/>
  <c r="G10" i="16"/>
  <c r="H10" i="16"/>
  <c r="I10" i="16"/>
  <c r="B11" i="16"/>
  <c r="C11" i="16"/>
  <c r="D11" i="16"/>
  <c r="E11" i="16"/>
  <c r="F11" i="16"/>
  <c r="G11" i="16"/>
  <c r="H11" i="16"/>
  <c r="I11" i="16"/>
  <c r="B12" i="16"/>
  <c r="C12" i="16"/>
  <c r="D12" i="16"/>
  <c r="E12" i="16"/>
  <c r="F12" i="16"/>
  <c r="G12" i="16"/>
  <c r="H12" i="16"/>
  <c r="I12" i="16"/>
  <c r="B13" i="16"/>
  <c r="C13" i="16"/>
  <c r="D13" i="16"/>
  <c r="E13" i="16"/>
  <c r="F13" i="16"/>
  <c r="G13" i="16"/>
  <c r="H13" i="16"/>
  <c r="I13" i="16"/>
  <c r="B14" i="16"/>
  <c r="C14" i="16"/>
  <c r="D14" i="16"/>
  <c r="E14" i="16"/>
  <c r="F14" i="16"/>
  <c r="G14" i="16"/>
  <c r="H14" i="16"/>
  <c r="I14" i="16"/>
  <c r="D2" i="17"/>
  <c r="D3" i="17" s="1"/>
  <c r="D4" i="17" s="1"/>
  <c r="C5" i="17"/>
  <c r="B10" i="14"/>
  <c r="B9" i="14"/>
  <c r="B6" i="14"/>
  <c r="L7" i="20"/>
  <c r="L8" i="20" s="1"/>
  <c r="M7" i="20" s="1"/>
  <c r="B15" i="20" s="1"/>
  <c r="B3" i="5"/>
  <c r="C3" i="5" s="1"/>
  <c r="C10" i="14"/>
  <c r="C11" i="14"/>
  <c r="B12" i="14"/>
  <c r="B16" i="14"/>
  <c r="B11" i="14"/>
  <c r="K2" i="18" l="1"/>
  <c r="K4" i="18"/>
  <c r="L4" i="18" s="1"/>
  <c r="D16" i="14"/>
  <c r="D7" i="14"/>
  <c r="D12" i="14"/>
  <c r="D8" i="14"/>
  <c r="D11" i="14"/>
  <c r="D15" i="14"/>
  <c r="D13" i="14"/>
  <c r="D6" i="14"/>
  <c r="D14" i="14"/>
  <c r="D9" i="14"/>
  <c r="D10" i="14"/>
  <c r="H18" i="20"/>
  <c r="E21" i="20" s="1"/>
  <c r="H19" i="20"/>
  <c r="F21" i="20" s="1"/>
  <c r="H16" i="20"/>
  <c r="C21" i="20" s="1"/>
  <c r="M6" i="20"/>
  <c r="B8" i="20" s="1"/>
  <c r="E20" i="20"/>
  <c r="D18" i="20"/>
  <c r="D17" i="20"/>
  <c r="H17" i="20" s="1"/>
  <c r="D21" i="20" s="1"/>
  <c r="C6" i="14"/>
  <c r="E1" i="14" s="1"/>
  <c r="D20" i="20"/>
  <c r="H20" i="20" s="1"/>
  <c r="G21" i="20" s="1"/>
  <c r="G13" i="20" s="1"/>
  <c r="C9" i="14"/>
  <c r="C15" i="14"/>
  <c r="B14" i="14"/>
  <c r="F19" i="20"/>
  <c r="C14" i="14"/>
  <c r="C8" i="14"/>
  <c r="C16" i="14"/>
  <c r="C12" i="14"/>
  <c r="C13" i="14"/>
  <c r="B13" i="14"/>
  <c r="C7" i="14"/>
  <c r="B8" i="14"/>
  <c r="C19" i="20"/>
  <c r="D3" i="5"/>
  <c r="B4" i="5"/>
  <c r="C4" i="5" s="1"/>
  <c r="D2" i="18"/>
  <c r="B3" i="18" s="1"/>
  <c r="D3" i="18" s="1"/>
  <c r="E3" i="18" s="1"/>
  <c r="L2" i="18"/>
  <c r="K3" i="18"/>
  <c r="L3" i="18" s="1"/>
  <c r="B4" i="18" l="1"/>
  <c r="D4" i="18" s="1"/>
  <c r="E4" i="18" s="1"/>
  <c r="N4" i="18" s="1"/>
  <c r="E14" i="14"/>
  <c r="E12" i="14"/>
  <c r="E11" i="14"/>
  <c r="E10" i="14"/>
  <c r="E7" i="14"/>
  <c r="F1" i="14" s="1"/>
  <c r="E9" i="14"/>
  <c r="E15" i="14"/>
  <c r="E13" i="14"/>
  <c r="E8" i="14"/>
  <c r="E16" i="14"/>
  <c r="D12" i="20"/>
  <c r="D10" i="20"/>
  <c r="D11" i="20"/>
  <c r="D13" i="20"/>
  <c r="C9" i="20"/>
  <c r="C11" i="20"/>
  <c r="C12" i="20"/>
  <c r="H12" i="20" s="1"/>
  <c r="F14" i="20" s="1"/>
  <c r="C13" i="20"/>
  <c r="H13" i="20" s="1"/>
  <c r="G14" i="20" s="1"/>
  <c r="G6" i="20" s="1"/>
  <c r="C10" i="20"/>
  <c r="H10" i="20" s="1"/>
  <c r="D14" i="20" s="1"/>
  <c r="F12" i="20"/>
  <c r="F13" i="20"/>
  <c r="E11" i="20"/>
  <c r="E13" i="20"/>
  <c r="E12" i="20"/>
  <c r="H9" i="20"/>
  <c r="C14" i="20" s="1"/>
  <c r="H11" i="20"/>
  <c r="E14" i="20" s="1"/>
  <c r="D4" i="5"/>
  <c r="B5" i="5"/>
  <c r="E2" i="18"/>
  <c r="N2" i="18" s="1"/>
  <c r="N3" i="18"/>
  <c r="J5" i="18"/>
  <c r="B5" i="18" l="1"/>
  <c r="D5" i="18" s="1"/>
  <c r="E5" i="18" s="1"/>
  <c r="D3" i="20"/>
  <c r="D4" i="20"/>
  <c r="D5" i="20"/>
  <c r="D6" i="20"/>
  <c r="F5" i="20"/>
  <c r="F6" i="20"/>
  <c r="C3" i="20"/>
  <c r="H3" i="20" s="1"/>
  <c r="D7" i="20" s="1"/>
  <c r="C2" i="20"/>
  <c r="H2" i="20" s="1"/>
  <c r="C7" i="20" s="1"/>
  <c r="C6" i="20"/>
  <c r="H6" i="20" s="1"/>
  <c r="G7" i="20" s="1"/>
  <c r="C5" i="20"/>
  <c r="C4" i="20"/>
  <c r="H4" i="20" s="1"/>
  <c r="E7" i="20" s="1"/>
  <c r="E6" i="20"/>
  <c r="E5" i="20"/>
  <c r="E4" i="20"/>
  <c r="F12" i="14"/>
  <c r="F10" i="14"/>
  <c r="F13" i="14"/>
  <c r="F16" i="14"/>
  <c r="F11" i="14"/>
  <c r="F9" i="14"/>
  <c r="F8" i="14"/>
  <c r="G1" i="14" s="1"/>
  <c r="F14" i="14"/>
  <c r="F15" i="14"/>
  <c r="C5" i="5"/>
  <c r="J6" i="18"/>
  <c r="K5" i="18"/>
  <c r="L5" i="18" s="1"/>
  <c r="H5" i="20" l="1"/>
  <c r="F7" i="20" s="1"/>
  <c r="G13" i="14"/>
  <c r="G15" i="14"/>
  <c r="G12" i="14"/>
  <c r="G10" i="14"/>
  <c r="G9" i="14"/>
  <c r="H1" i="14" s="1"/>
  <c r="G14" i="14"/>
  <c r="G11" i="14"/>
  <c r="G16" i="14"/>
  <c r="N5" i="18"/>
  <c r="D5" i="5"/>
  <c r="B6" i="5"/>
  <c r="B6" i="18"/>
  <c r="J7" i="18"/>
  <c r="K6" i="18"/>
  <c r="L6" i="18" s="1"/>
  <c r="H16" i="14" l="1"/>
  <c r="H15" i="14"/>
  <c r="H10" i="14"/>
  <c r="I1" i="14" s="1"/>
  <c r="H14" i="14"/>
  <c r="H12" i="14"/>
  <c r="H13" i="14"/>
  <c r="H11" i="14"/>
  <c r="C6" i="5"/>
  <c r="J8" i="18"/>
  <c r="K7" i="18"/>
  <c r="L7" i="18" s="1"/>
  <c r="D6" i="18"/>
  <c r="E6" i="18" s="1"/>
  <c r="N6" i="18" s="1"/>
  <c r="I15" i="14" l="1"/>
  <c r="I14" i="14"/>
  <c r="I11" i="14"/>
  <c r="J1" i="14" s="1"/>
  <c r="I12" i="14"/>
  <c r="I16" i="14"/>
  <c r="I13" i="14"/>
  <c r="D6" i="5"/>
  <c r="B7" i="5"/>
  <c r="C7" i="5" s="1"/>
  <c r="J9" i="18"/>
  <c r="K8" i="18"/>
  <c r="L8" i="18" s="1"/>
  <c r="B7" i="18"/>
  <c r="J12" i="14" l="1"/>
  <c r="K1" i="14" s="1"/>
  <c r="J16" i="14"/>
  <c r="J14" i="14"/>
  <c r="J13" i="14"/>
  <c r="J15" i="14"/>
  <c r="D7" i="5"/>
  <c r="B8" i="5"/>
  <c r="C8" i="5"/>
  <c r="D7" i="18"/>
  <c r="E7" i="18" s="1"/>
  <c r="N7" i="18" s="1"/>
  <c r="J10" i="18"/>
  <c r="K9" i="18"/>
  <c r="L9" i="18" s="1"/>
  <c r="K13" i="14" l="1"/>
  <c r="L1" i="14" s="1"/>
  <c r="K16" i="14"/>
  <c r="K14" i="14"/>
  <c r="K15" i="14"/>
  <c r="B9" i="5"/>
  <c r="C9" i="5" s="1"/>
  <c r="D8" i="5"/>
  <c r="J11" i="18"/>
  <c r="K11" i="18" s="1"/>
  <c r="L11" i="18" s="1"/>
  <c r="K10" i="18"/>
  <c r="L10" i="18" s="1"/>
  <c r="B8" i="18"/>
  <c r="L15" i="14" l="1"/>
  <c r="L14" i="14"/>
  <c r="M1" i="14" s="1"/>
  <c r="L16" i="14"/>
  <c r="D9" i="5"/>
  <c r="B10" i="5"/>
  <c r="B11" i="5" s="1"/>
  <c r="D8" i="18"/>
  <c r="E8" i="18" s="1"/>
  <c r="N8" i="18" s="1"/>
  <c r="M16" i="14" l="1"/>
  <c r="M15" i="14"/>
  <c r="N1" i="14" s="1"/>
  <c r="N16" i="14" s="1"/>
  <c r="C10" i="5"/>
  <c r="D10" i="5" s="1"/>
  <c r="B9" i="18"/>
  <c r="O1" i="14" l="1"/>
  <c r="D9" i="18"/>
  <c r="E9" i="18" s="1"/>
  <c r="N9" i="18" s="1"/>
  <c r="B10" i="18" l="1"/>
  <c r="D10" i="18" l="1"/>
  <c r="E10" i="18" s="1"/>
  <c r="N10" i="18" s="1"/>
  <c r="B11" i="18" l="1"/>
  <c r="D11" i="18" s="1"/>
  <c r="E11" i="18" s="1"/>
  <c r="N11" i="18" s="1"/>
</calcChain>
</file>

<file path=xl/comments1.xml><?xml version="1.0" encoding="utf-8"?>
<comments xmlns="http://schemas.openxmlformats.org/spreadsheetml/2006/main">
  <authors>
    <author>arwashbu</author>
  </authors>
  <commentList>
    <comment ref="G1" authorId="0" shapeId="0">
      <text>
        <r>
          <rPr>
            <b/>
            <sz val="8"/>
            <color indexed="81"/>
            <rFont val="Tahoma"/>
            <family val="2"/>
          </rPr>
          <t>The standard deviation of the dispersion of each shot.</t>
        </r>
        <r>
          <rPr>
            <sz val="8"/>
            <color indexed="81"/>
            <rFont val="Tahoma"/>
            <family val="2"/>
          </rPr>
          <t xml:space="preserve">
</t>
        </r>
      </text>
    </comment>
    <comment ref="G2" authorId="0" shapeId="0">
      <text>
        <r>
          <rPr>
            <b/>
            <sz val="8"/>
            <color indexed="81"/>
            <rFont val="Tahoma"/>
            <family val="2"/>
          </rPr>
          <t>The standard deviation of the common error (target location).</t>
        </r>
        <r>
          <rPr>
            <sz val="8"/>
            <color indexed="81"/>
            <rFont val="Tahoma"/>
            <family val="2"/>
          </rPr>
          <t xml:space="preserve">
</t>
        </r>
      </text>
    </comment>
    <comment ref="G3" authorId="0" shapeId="0">
      <text>
        <r>
          <rPr>
            <b/>
            <sz val="8"/>
            <color indexed="81"/>
            <rFont val="Tahoma"/>
            <family val="2"/>
          </rPr>
          <t>The lethal radius.</t>
        </r>
        <r>
          <rPr>
            <sz val="8"/>
            <color indexed="81"/>
            <rFont val="Tahoma"/>
            <family val="2"/>
          </rPr>
          <t xml:space="preserve">
</t>
        </r>
      </text>
    </comment>
  </commentList>
</comments>
</file>

<file path=xl/sharedStrings.xml><?xml version="1.0" encoding="utf-8"?>
<sst xmlns="http://schemas.openxmlformats.org/spreadsheetml/2006/main" count="81" uniqueCount="65">
  <si>
    <t>m,n&gt;</t>
  </si>
  <si>
    <t>max kills/attacker (lambda)&gt;&gt;&gt;&gt;</t>
  </si>
  <si>
    <t>defenders</t>
  </si>
  <si>
    <t>survival prb</t>
  </si>
  <si>
    <t>total&gt;&gt;&gt;</t>
  </si>
  <si>
    <t>attackers</t>
  </si>
  <si>
    <t>kill prob</t>
  </si>
  <si>
    <t>kill limit</t>
  </si>
  <si>
    <t>Cell I3 (lambda) controls how fast the kill probability</t>
  </si>
  <si>
    <t>rises with the number of attackers.  Small values will</t>
  </si>
  <si>
    <t>result in many defenders being necessary.</t>
  </si>
  <si>
    <t>attacker kill probability(p) &gt;&gt;&gt;&gt;</t>
  </si>
  <si>
    <t>defender kill probability (rho)&gt;&gt;</t>
  </si>
  <si>
    <t>Green numbers are input probabilities.</t>
  </si>
  <si>
    <t>myopic</t>
  </si>
  <si>
    <t>optimal</t>
  </si>
  <si>
    <t>upper</t>
  </si>
  <si>
    <t xml:space="preserve">Yellow sections show optimal number of </t>
  </si>
  <si>
    <t>with 0,1,2,3 stages (chances to shoot) left.</t>
  </si>
  <si>
    <t>Blue sections show average surviving tgts</t>
  </si>
  <si>
    <t>shots to use with 1,2,3 stages left.</t>
  </si>
  <si>
    <t>&lt;&lt;Each shot's prob of killing its target with one stage left.</t>
  </si>
  <si>
    <t>Prob(any surviving attacker kills you)&gt;&gt;</t>
  </si>
  <si>
    <t xml:space="preserve">Blue sections show survival probability </t>
  </si>
  <si>
    <t>defenders to use with 1,2,3 stages left.</t>
  </si>
  <si>
    <t>Rows are defenders, columns are attackers.</t>
  </si>
  <si>
    <t>&lt;&lt;Each defender's prob of killing its attacker target with one stage left.</t>
  </si>
  <si>
    <t>&lt;&lt;Each defender's prob of killing its attacker target with two stages left.</t>
  </si>
  <si>
    <t>&lt;&lt;Each defender's prob of killing its attacker target with three stages left.</t>
  </si>
  <si>
    <t>m below</t>
  </si>
  <si>
    <t>attacker Pk (p)&gt;&gt;&gt;</t>
  </si>
  <si>
    <t>defender Pk (rho)&gt;&gt;&gt;</t>
  </si>
  <si>
    <t>c&gt;&gt;&gt;</t>
  </si>
  <si>
    <t>m-x&gt;&gt;&gt;</t>
  </si>
  <si>
    <t>Shot</t>
  </si>
  <si>
    <t>sig_disp</t>
  </si>
  <si>
    <t>sig_B</t>
  </si>
  <si>
    <t>R</t>
  </si>
  <si>
    <t>Hit?</t>
  </si>
  <si>
    <t>3CALAim</t>
  </si>
  <si>
    <t>Dispersion(E)</t>
  </si>
  <si>
    <t>Report(X)</t>
  </si>
  <si>
    <t>3CALX</t>
  </si>
  <si>
    <t>SASAim(A)</t>
  </si>
  <si>
    <t>SASGain</t>
  </si>
  <si>
    <t>Start with 12 shots and 7 targets.</t>
  </si>
  <si>
    <t>&lt;&lt;Each shot's prob of killing its attacker target with two stages left.</t>
  </si>
  <si>
    <t>&lt;&lt;Each shot's prob of killing its attacker target with three stages left.</t>
  </si>
  <si>
    <t>salvo</t>
  </si>
  <si>
    <t>q</t>
  </si>
  <si>
    <t>x</t>
  </si>
  <si>
    <t>&lt;&lt;&lt;initial targets</t>
  </si>
  <si>
    <t>&lt;&lt;&lt;initial shots</t>
  </si>
  <si>
    <t>&lt;&lt;&lt;final targets</t>
  </si>
  <si>
    <t>Bias(B)</t>
  </si>
  <si>
    <t>attacker kill probability (p)</t>
  </si>
  <si>
    <t>interceptor kill probability (rho)</t>
  </si>
  <si>
    <t>P(A=i)</t>
  </si>
  <si>
    <t>i</t>
  </si>
  <si>
    <t>P(A&gt;=i)</t>
  </si>
  <si>
    <t>Qi</t>
  </si>
  <si>
    <t>i=0</t>
  </si>
  <si>
    <t>i=1</t>
  </si>
  <si>
    <t>i=2</t>
  </si>
  <si>
    <t>i=3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</si>
</sst>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0"/>
      <name val="Times New Roman"/>
      <family val="1"/>
    </font>
    <font>
      <sz val="10"/>
      <name val="Arial"/>
      <family val="2"/>
    </font>
    <font>
      <sz val="10"/>
      <name val="Times New Roman"/>
      <family val="1"/>
    </font>
    <font>
      <sz val="8"/>
      <name val="Arial"/>
      <family val="2"/>
    </font>
    <font>
      <sz val="8"/>
      <name val="Times New Roman"/>
      <family val="1"/>
    </font>
    <font>
      <sz val="8"/>
      <color indexed="81"/>
      <name val="Tahoma"/>
      <family val="2"/>
    </font>
    <font>
      <b/>
      <sz val="8"/>
      <color indexed="81"/>
      <name val="Tahoma"/>
      <family val="2"/>
    </font>
  </fonts>
  <fills count="9">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1"/>
        <bgColor indexed="64"/>
      </patternFill>
    </fill>
    <fill>
      <patternFill patternType="solid">
        <fgColor indexed="13"/>
        <bgColor indexed="64"/>
      </patternFill>
    </fill>
    <fill>
      <patternFill patternType="solid">
        <fgColor theme="9" tint="0.79998168889431442"/>
        <bgColor indexed="64"/>
      </patternFill>
    </fill>
  </fills>
  <borders count="9">
    <border>
      <left/>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s>
  <cellStyleXfs count="4">
    <xf numFmtId="0" fontId="0" fillId="0" borderId="0"/>
    <xf numFmtId="0" fontId="1" fillId="0" borderId="0"/>
    <xf numFmtId="0" fontId="2" fillId="0" borderId="0"/>
    <xf numFmtId="0" fontId="1" fillId="0" borderId="0"/>
  </cellStyleXfs>
  <cellXfs count="64">
    <xf numFmtId="0" fontId="0" fillId="0" borderId="0" xfId="0"/>
    <xf numFmtId="0" fontId="0" fillId="2" borderId="0" xfId="0" applyFill="1"/>
    <xf numFmtId="0" fontId="0" fillId="0" borderId="0" xfId="0" applyFill="1"/>
    <xf numFmtId="0" fontId="0" fillId="3" borderId="0" xfId="0" applyFill="1"/>
    <xf numFmtId="0" fontId="0" fillId="2" borderId="1" xfId="0" applyFill="1" applyBorder="1"/>
    <xf numFmtId="0" fontId="0" fillId="2" borderId="0" xfId="0" applyFill="1" applyBorder="1"/>
    <xf numFmtId="0" fontId="0" fillId="2" borderId="2" xfId="0" applyFill="1" applyBorder="1"/>
    <xf numFmtId="0" fontId="0" fillId="3" borderId="1" xfId="0" applyFill="1" applyBorder="1"/>
    <xf numFmtId="0" fontId="0" fillId="3" borderId="0" xfId="0" applyFill="1" applyBorder="1"/>
    <xf numFmtId="0" fontId="0" fillId="3" borderId="2" xfId="0" applyFill="1" applyBorder="1"/>
    <xf numFmtId="0" fontId="0" fillId="0" borderId="3" xfId="0" applyFill="1" applyBorder="1"/>
    <xf numFmtId="0" fontId="0" fillId="0" borderId="4" xfId="0" applyFill="1" applyBorder="1"/>
    <xf numFmtId="0" fontId="0" fillId="0" borderId="5" xfId="0" applyFill="1" applyBorder="1"/>
    <xf numFmtId="0" fontId="0" fillId="0" borderId="6" xfId="0" applyBorder="1"/>
    <xf numFmtId="0" fontId="0" fillId="0" borderId="7" xfId="0" applyBorder="1"/>
    <xf numFmtId="0" fontId="0" fillId="0" borderId="8" xfId="0" applyBorder="1"/>
    <xf numFmtId="0" fontId="0" fillId="0" borderId="1" xfId="0" applyBorder="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4" borderId="6" xfId="0" applyFill="1" applyBorder="1"/>
    <xf numFmtId="0" fontId="0" fillId="4" borderId="7" xfId="0" applyFill="1" applyBorder="1"/>
    <xf numFmtId="0" fontId="0" fillId="4" borderId="8" xfId="0" applyFill="1" applyBorder="1"/>
    <xf numFmtId="0" fontId="0" fillId="4" borderId="1" xfId="0" applyFill="1" applyBorder="1"/>
    <xf numFmtId="0" fontId="0" fillId="4" borderId="0" xfId="0" applyFill="1" applyBorder="1"/>
    <xf numFmtId="0" fontId="0" fillId="4" borderId="2" xfId="0" applyFill="1" applyBorder="1"/>
    <xf numFmtId="0" fontId="0" fillId="4" borderId="0" xfId="0" applyFill="1"/>
    <xf numFmtId="0" fontId="1" fillId="0" borderId="0" xfId="3"/>
    <xf numFmtId="0" fontId="1" fillId="2" borderId="0" xfId="3" applyFill="1"/>
    <xf numFmtId="0" fontId="2" fillId="0" borderId="0" xfId="2"/>
    <xf numFmtId="0" fontId="2" fillId="4" borderId="0" xfId="2" applyFill="1"/>
    <xf numFmtId="0" fontId="2" fillId="0" borderId="0" xfId="2" applyFill="1"/>
    <xf numFmtId="0" fontId="2" fillId="3" borderId="0" xfId="2" applyFill="1"/>
    <xf numFmtId="0" fontId="2" fillId="4" borderId="6" xfId="2" applyFill="1" applyBorder="1"/>
    <xf numFmtId="0" fontId="2" fillId="4" borderId="7" xfId="2" applyFill="1" applyBorder="1"/>
    <xf numFmtId="0" fontId="2" fillId="4" borderId="8" xfId="2" applyFill="1" applyBorder="1"/>
    <xf numFmtId="0" fontId="2" fillId="4" borderId="1" xfId="2" applyFill="1" applyBorder="1"/>
    <xf numFmtId="0" fontId="2" fillId="4" borderId="0" xfId="2" applyFill="1" applyBorder="1"/>
    <xf numFmtId="0" fontId="2" fillId="4" borderId="2" xfId="2" applyFill="1" applyBorder="1"/>
    <xf numFmtId="0" fontId="2" fillId="2" borderId="1" xfId="2" applyFill="1" applyBorder="1"/>
    <xf numFmtId="0" fontId="2" fillId="2" borderId="0" xfId="2" applyFill="1" applyBorder="1"/>
    <xf numFmtId="0" fontId="2" fillId="2" borderId="2" xfId="2" applyFill="1" applyBorder="1"/>
    <xf numFmtId="0" fontId="2" fillId="3" borderId="1" xfId="2" applyFill="1" applyBorder="1"/>
    <xf numFmtId="0" fontId="2" fillId="3" borderId="0" xfId="2" applyFill="1" applyBorder="1"/>
    <xf numFmtId="0" fontId="2" fillId="3" borderId="2" xfId="2" applyFill="1" applyBorder="1"/>
    <xf numFmtId="0" fontId="2" fillId="0" borderId="3" xfId="2" applyFill="1" applyBorder="1"/>
    <xf numFmtId="0" fontId="2" fillId="0" borderId="4" xfId="2" applyFill="1" applyBorder="1"/>
    <xf numFmtId="0" fontId="2" fillId="0" borderId="5" xfId="2" applyFill="1" applyBorder="1"/>
    <xf numFmtId="0" fontId="2" fillId="2" borderId="0" xfId="2" applyFill="1"/>
    <xf numFmtId="0" fontId="1" fillId="0" borderId="0" xfId="1"/>
    <xf numFmtId="0" fontId="1" fillId="2" borderId="0" xfId="1" applyFill="1"/>
    <xf numFmtId="0" fontId="1" fillId="0" borderId="0" xfId="1" applyFill="1"/>
    <xf numFmtId="0" fontId="1" fillId="3" borderId="0" xfId="1" applyFill="1"/>
    <xf numFmtId="0" fontId="1" fillId="5" borderId="0" xfId="1" applyFill="1"/>
    <xf numFmtId="0" fontId="1" fillId="0" borderId="0" xfId="1" applyFont="1" applyFill="1"/>
    <xf numFmtId="0" fontId="1" fillId="0" borderId="0" xfId="1" applyFont="1"/>
    <xf numFmtId="0" fontId="1" fillId="0" borderId="0" xfId="3" applyFill="1"/>
    <xf numFmtId="0" fontId="1" fillId="0" borderId="0" xfId="3" applyFill="1" applyBorder="1"/>
    <xf numFmtId="0" fontId="1" fillId="0" borderId="0" xfId="3" applyFont="1" applyFill="1" applyBorder="1"/>
    <xf numFmtId="0" fontId="0" fillId="6" borderId="0" xfId="0" applyFill="1"/>
    <xf numFmtId="0" fontId="0" fillId="7" borderId="0" xfId="0" applyFill="1"/>
    <xf numFmtId="0" fontId="0" fillId="8" borderId="0" xfId="0" applyFill="1"/>
  </cellXfs>
  <cellStyles count="4">
    <cellStyle name="Normal" xfId="0" builtinId="0"/>
    <cellStyle name="Normal_Book1" xfId="1"/>
    <cellStyle name="Normal_Chapter4" xfId="2"/>
    <cellStyle name="Normal_SLS" xfId="3"/>
  </cellStyles>
  <dxfs count="1">
    <dxf>
      <fill>
        <patternFill>
          <bgColor indexed="4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Aim Points</a:t>
            </a:r>
          </a:p>
        </c:rich>
      </c:tx>
      <c:layout>
        <c:manualLayout>
          <c:xMode val="edge"/>
          <c:yMode val="edge"/>
          <c:x val="0.43675889328063239"/>
          <c:y val="4.065040650406504E-2"/>
        </c:manualLayout>
      </c:layout>
      <c:overlay val="0"/>
      <c:spPr>
        <a:noFill/>
        <a:ln w="25400">
          <a:noFill/>
        </a:ln>
      </c:spPr>
    </c:title>
    <c:autoTitleDeleted val="0"/>
    <c:plotArea>
      <c:layout>
        <c:manualLayout>
          <c:layoutTarget val="inner"/>
          <c:xMode val="edge"/>
          <c:yMode val="edge"/>
          <c:x val="6.4070450013817282E-2"/>
          <c:y val="0.26063965176015919"/>
          <c:w val="0.70351866681838582"/>
          <c:h val="0.56915189261912302"/>
        </c:manualLayout>
      </c:layout>
      <c:scatterChart>
        <c:scatterStyle val="lineMarker"/>
        <c:varyColors val="0"/>
        <c:ser>
          <c:idx val="0"/>
          <c:order val="0"/>
          <c:tx>
            <c:strRef>
              <c:f>'3CAL '!$B$1</c:f>
              <c:strCache>
                <c:ptCount val="1"/>
                <c:pt idx="0">
                  <c:v>SASAim(A)</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'3CAL '!$A$2:$A$11</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'3CAL '!$B$2:$B$11</c:f>
              <c:numCache>
                <c:formatCode>General</c:formatCode>
                <c:ptCount val="10"/>
                <c:pt idx="0">
                  <c:v>0</c:v>
                </c:pt>
                <c:pt idx="1">
                  <c:v>7.156744413189835</c:v>
                </c:pt>
                <c:pt idx="2">
                  <c:v>6.5628016686404331</c:v>
                </c:pt>
                <c:pt idx="3">
                  <c:v>6.3494299847580855</c:v>
                </c:pt>
                <c:pt idx="4">
                  <c:v>6.3365955972631713</c:v>
                </c:pt>
                <c:pt idx="5">
                  <c:v>6.3092797351499366</c:v>
                </c:pt>
                <c:pt idx="6">
                  <c:v>6.4839637634010545</c:v>
                </c:pt>
                <c:pt idx="7">
                  <c:v>6.4963919046119685</c:v>
                </c:pt>
                <c:pt idx="8">
                  <c:v>6.1972138216585391</c:v>
                </c:pt>
                <c:pt idx="9">
                  <c:v>6.2742633208064857</c:v>
                </c:pt>
              </c:numCache>
            </c:numRef>
          </c:yVal>
          <c:smooth val="0"/>
          <c:extLst>
            <c:ext xmlns:c16="http://schemas.microsoft.com/office/drawing/2014/chart" uri="{C3380CC4-5D6E-409C-BE32-E72D297353CC}">
              <c16:uniqueId val="{00000000-994F-4D79-99F3-2C5AF688EDF6}"/>
            </c:ext>
          </c:extLst>
        </c:ser>
        <c:ser>
          <c:idx val="1"/>
          <c:order val="1"/>
          <c:tx>
            <c:strRef>
              <c:f>'3CAL '!$J$1</c:f>
              <c:strCache>
                <c:ptCount val="1"/>
                <c:pt idx="0">
                  <c:v>3CALAim</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'3CAL '!$A$2:$A$11</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'3CAL '!$J$2:$J$11</c:f>
              <c:numCache>
                <c:formatCode>General</c:formatCode>
                <c:ptCount val="10"/>
                <c:pt idx="0">
                  <c:v>0</c:v>
                </c:pt>
                <c:pt idx="1">
                  <c:v>0</c:v>
                </c:pt>
                <c:pt idx="2">
                  <c:v>0</c:v>
                </c:pt>
                <c:pt idx="3">
                  <c:v>6.3494299847580855</c:v>
                </c:pt>
                <c:pt idx="4">
                  <c:v>6.3494299847580855</c:v>
                </c:pt>
                <c:pt idx="5">
                  <c:v>6.3494299847580855</c:v>
                </c:pt>
                <c:pt idx="6">
                  <c:v>6.3494299847580855</c:v>
                </c:pt>
                <c:pt idx="7">
                  <c:v>6.3494299847580855</c:v>
                </c:pt>
                <c:pt idx="8">
                  <c:v>6.3494299847580855</c:v>
                </c:pt>
                <c:pt idx="9">
                  <c:v>6.3494299847580855</c:v>
                </c:pt>
              </c:numCache>
            </c:numRef>
          </c:yVal>
          <c:smooth val="0"/>
          <c:extLst>
            <c:ext xmlns:c16="http://schemas.microsoft.com/office/drawing/2014/chart" uri="{C3380CC4-5D6E-409C-BE32-E72D297353CC}">
              <c16:uniqueId val="{00000001-994F-4D79-99F3-2C5AF688EDF6}"/>
            </c:ext>
          </c:extLst>
        </c:ser>
        <c:dLbls>
          <c:showLegendKey val="0"/>
          <c:showVal val="0"/>
          <c:showCatName val="0"/>
          <c:showSerName val="0"/>
          <c:showPercent val="0"/>
          <c:showBubbleSize val="0"/>
        </c:dLbls>
        <c:axId val="435902048"/>
        <c:axId val="1"/>
      </c:scatterChart>
      <c:valAx>
        <c:axId val="435902048"/>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Shot number</a:t>
                </a:r>
              </a:p>
            </c:rich>
          </c:tx>
          <c:layout>
            <c:manualLayout>
              <c:xMode val="edge"/>
              <c:yMode val="edge"/>
              <c:x val="0.3458498023715415"/>
              <c:y val="0.8658570727439558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35902048"/>
        <c:crosses val="autoZero"/>
        <c:crossBetween val="midCat"/>
      </c:valAx>
      <c:spPr>
        <a:solidFill>
          <a:srgbClr val="C0C0C0"/>
        </a:solidFill>
        <a:ln w="12700">
          <a:solidFill>
            <a:srgbClr val="808080"/>
          </a:solidFill>
          <a:prstDash val="solid"/>
        </a:ln>
      </c:spPr>
    </c:plotArea>
    <c:legend>
      <c:legendPos val="r"/>
      <c:layout>
        <c:manualLayout>
          <c:xMode val="edge"/>
          <c:yMode val="edge"/>
          <c:x val="0.80237154150197632"/>
          <c:y val="0.44309113799799416"/>
          <c:w val="0.18181818181818188"/>
          <c:h val="0.16260247956810281"/>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19309699615336"/>
          <c:y val="7.5594151788374336E-2"/>
          <c:w val="0.82115241428198793"/>
          <c:h val="0.73218335589311145"/>
        </c:manualLayout>
      </c:layout>
      <c:scatterChart>
        <c:scatterStyle val="smoothMarker"/>
        <c:varyColors val="0"/>
        <c:ser>
          <c:idx val="0"/>
          <c:order val="0"/>
          <c:spPr>
            <a:ln w="12700">
              <a:solidFill>
                <a:srgbClr val="000080"/>
              </a:solidFill>
              <a:prstDash val="solid"/>
            </a:ln>
          </c:spPr>
          <c:marker>
            <c:symbol val="none"/>
          </c:marker>
          <c:xVal>
            <c:numRef>
              <c:f>MaxCost!$B$2:$O$2</c:f>
              <c:numCache>
                <c:formatCode>General</c:formatCod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numCache>
            </c:numRef>
          </c:xVal>
          <c:yVal>
            <c:numRef>
              <c:f>MaxCost!$B$1:$O$1</c:f>
              <c:numCache>
                <c:formatCode>General</c:formatCode>
                <c:ptCount val="14"/>
                <c:pt idx="0">
                  <c:v>1.25</c:v>
                </c:pt>
                <c:pt idx="1">
                  <c:v>1.75</c:v>
                </c:pt>
                <c:pt idx="2">
                  <c:v>2.0499999999999998</c:v>
                </c:pt>
                <c:pt idx="3">
                  <c:v>2.4000000000000004</c:v>
                </c:pt>
                <c:pt idx="4">
                  <c:v>2.6399999999999997</c:v>
                </c:pt>
                <c:pt idx="5">
                  <c:v>2.9200000000000004</c:v>
                </c:pt>
                <c:pt idx="6">
                  <c:v>3.1600000000000006</c:v>
                </c:pt>
                <c:pt idx="7">
                  <c:v>3.3759999999999999</c:v>
                </c:pt>
                <c:pt idx="8">
                  <c:v>3.6280000000000006</c:v>
                </c:pt>
                <c:pt idx="9">
                  <c:v>3.8440000000000007</c:v>
                </c:pt>
                <c:pt idx="10">
                  <c:v>4.0383999999999993</c:v>
                </c:pt>
                <c:pt idx="11">
                  <c:v>4.2652000000000001</c:v>
                </c:pt>
                <c:pt idx="12">
                  <c:v>4.4596000000000009</c:v>
                </c:pt>
                <c:pt idx="13">
                  <c:v>4.6518000000000006</c:v>
                </c:pt>
              </c:numCache>
            </c:numRef>
          </c:yVal>
          <c:smooth val="1"/>
          <c:extLst>
            <c:ext xmlns:c16="http://schemas.microsoft.com/office/drawing/2014/chart" uri="{C3380CC4-5D6E-409C-BE32-E72D297353CC}">
              <c16:uniqueId val="{00000000-F50A-4C37-8F43-C51BCB41B3B6}"/>
            </c:ext>
          </c:extLst>
        </c:ser>
        <c:dLbls>
          <c:showLegendKey val="0"/>
          <c:showVal val="0"/>
          <c:showCatName val="0"/>
          <c:showSerName val="0"/>
          <c:showPercent val="0"/>
          <c:showBubbleSize val="0"/>
        </c:dLbls>
        <c:axId val="428882576"/>
        <c:axId val="1"/>
      </c:scatterChart>
      <c:valAx>
        <c:axId val="428882576"/>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Interceptors remaining</a:t>
                </a:r>
              </a:p>
            </c:rich>
          </c:tx>
          <c:layout>
            <c:manualLayout>
              <c:xMode val="edge"/>
              <c:yMode val="edge"/>
              <c:x val="0.42146262724911326"/>
              <c:y val="0.8920111652710077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Times New Roman"/>
                    <a:ea typeface="Times New Roman"/>
                    <a:cs typeface="Times New Roman"/>
                  </a:defRPr>
                </a:pPr>
                <a:r>
                  <a:rPr lang="en-US"/>
                  <a:t>Attackers required</a:t>
                </a:r>
              </a:p>
            </c:rich>
          </c:tx>
          <c:layout>
            <c:manualLayout>
              <c:xMode val="edge"/>
              <c:yMode val="edge"/>
              <c:x val="3.4214599144099231E-2"/>
              <c:y val="0.300216806232554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42888257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0.12541324861149272"/>
          <c:w val="0.51816491971360368"/>
          <c:h val="0.54785787551336296"/>
        </c:manualLayout>
      </c:layout>
      <c:scatterChart>
        <c:scatterStyle val="lineMarker"/>
        <c:varyColors val="0"/>
        <c:ser>
          <c:idx val="0"/>
          <c:order val="0"/>
          <c:tx>
            <c:strRef>
              <c:f>PrimRead!$D$1</c:f>
              <c:strCache>
                <c:ptCount val="1"/>
                <c:pt idx="0">
                  <c:v>kill prob</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PrimRead!$A$2:$A$10</c:f>
              <c:numCache>
                <c:formatCode>General</c:formatCode>
                <c:ptCount val="9"/>
                <c:pt idx="0">
                  <c:v>1</c:v>
                </c:pt>
                <c:pt idx="1">
                  <c:v>2</c:v>
                </c:pt>
                <c:pt idx="2">
                  <c:v>3</c:v>
                </c:pt>
                <c:pt idx="3">
                  <c:v>4</c:v>
                </c:pt>
                <c:pt idx="4">
                  <c:v>5</c:v>
                </c:pt>
                <c:pt idx="5">
                  <c:v>6</c:v>
                </c:pt>
                <c:pt idx="6">
                  <c:v>7</c:v>
                </c:pt>
                <c:pt idx="7">
                  <c:v>8</c:v>
                </c:pt>
                <c:pt idx="8">
                  <c:v>9</c:v>
                </c:pt>
              </c:numCache>
            </c:numRef>
          </c:xVal>
          <c:yVal>
            <c:numRef>
              <c:f>PrimRead!$D$2:$D$10</c:f>
              <c:numCache>
                <c:formatCode>General</c:formatCode>
                <c:ptCount val="9"/>
                <c:pt idx="0">
                  <c:v>0.19999999999999996</c:v>
                </c:pt>
                <c:pt idx="1">
                  <c:v>0.52</c:v>
                </c:pt>
                <c:pt idx="2">
                  <c:v>0.90400000000000003</c:v>
                </c:pt>
                <c:pt idx="3">
                  <c:v>0.98080000000000001</c:v>
                </c:pt>
                <c:pt idx="4">
                  <c:v>0.99616000000000005</c:v>
                </c:pt>
                <c:pt idx="5">
                  <c:v>0.99923200000000001</c:v>
                </c:pt>
                <c:pt idx="6">
                  <c:v>0.99984640000000002</c:v>
                </c:pt>
                <c:pt idx="7">
                  <c:v>0.99996927999999996</c:v>
                </c:pt>
                <c:pt idx="8">
                  <c:v>0.99999385600000001</c:v>
                </c:pt>
              </c:numCache>
            </c:numRef>
          </c:yVal>
          <c:smooth val="0"/>
          <c:extLst>
            <c:ext xmlns:c16="http://schemas.microsoft.com/office/drawing/2014/chart" uri="{C3380CC4-5D6E-409C-BE32-E72D297353CC}">
              <c16:uniqueId val="{00000000-D697-448C-9989-830F234F293F}"/>
            </c:ext>
          </c:extLst>
        </c:ser>
        <c:ser>
          <c:idx val="1"/>
          <c:order val="1"/>
          <c:tx>
            <c:strRef>
              <c:f>PrimRead!$E$1</c:f>
              <c:strCache>
                <c:ptCount val="1"/>
                <c:pt idx="0">
                  <c:v>kill limit</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PrimRead!$A$2:$A$10</c:f>
              <c:numCache>
                <c:formatCode>General</c:formatCode>
                <c:ptCount val="9"/>
                <c:pt idx="0">
                  <c:v>1</c:v>
                </c:pt>
                <c:pt idx="1">
                  <c:v>2</c:v>
                </c:pt>
                <c:pt idx="2">
                  <c:v>3</c:v>
                </c:pt>
                <c:pt idx="3">
                  <c:v>4</c:v>
                </c:pt>
                <c:pt idx="4">
                  <c:v>5</c:v>
                </c:pt>
                <c:pt idx="5">
                  <c:v>6</c:v>
                </c:pt>
                <c:pt idx="6">
                  <c:v>7</c:v>
                </c:pt>
                <c:pt idx="7">
                  <c:v>8</c:v>
                </c:pt>
                <c:pt idx="8">
                  <c:v>9</c:v>
                </c:pt>
              </c:numCache>
            </c:numRef>
          </c:xVal>
          <c:yVal>
            <c:numRef>
              <c:f>PrimRead!$E$2:$E$10</c:f>
              <c:numCache>
                <c:formatCode>General</c:formatCode>
                <c:ptCount val="9"/>
                <c:pt idx="0">
                  <c:v>0.4</c:v>
                </c:pt>
                <c:pt idx="1">
                  <c:v>0.8</c:v>
                </c:pt>
                <c:pt idx="2">
                  <c:v>1.2000000000000002</c:v>
                </c:pt>
                <c:pt idx="3">
                  <c:v>1.6</c:v>
                </c:pt>
                <c:pt idx="4">
                  <c:v>2</c:v>
                </c:pt>
                <c:pt idx="5">
                  <c:v>2.4000000000000004</c:v>
                </c:pt>
                <c:pt idx="6">
                  <c:v>2.8000000000000003</c:v>
                </c:pt>
                <c:pt idx="7">
                  <c:v>3.2</c:v>
                </c:pt>
                <c:pt idx="8">
                  <c:v>3.6</c:v>
                </c:pt>
              </c:numCache>
            </c:numRef>
          </c:yVal>
          <c:smooth val="0"/>
          <c:extLst>
            <c:ext xmlns:c16="http://schemas.microsoft.com/office/drawing/2014/chart" uri="{C3380CC4-5D6E-409C-BE32-E72D297353CC}">
              <c16:uniqueId val="{00000001-D697-448C-9989-830F234F293F}"/>
            </c:ext>
          </c:extLst>
        </c:ser>
        <c:dLbls>
          <c:showLegendKey val="0"/>
          <c:showVal val="0"/>
          <c:showCatName val="0"/>
          <c:showSerName val="0"/>
          <c:showPercent val="0"/>
          <c:showBubbleSize val="0"/>
        </c:dLbls>
        <c:axId val="430206864"/>
        <c:axId val="1"/>
      </c:scatterChart>
      <c:valAx>
        <c:axId val="430206864"/>
        <c:scaling>
          <c:orientation val="minMax"/>
          <c:max val="10"/>
          <c:min val="0"/>
        </c:scaling>
        <c:delete val="0"/>
        <c:axPos val="b"/>
        <c:title>
          <c:tx>
            <c:rich>
              <a:bodyPr/>
              <a:lstStyle/>
              <a:p>
                <a:pPr>
                  <a:defRPr sz="875" b="0" i="0" u="none" strike="noStrike" baseline="0">
                    <a:solidFill>
                      <a:srgbClr val="000000"/>
                    </a:solidFill>
                    <a:latin typeface="Times New Roman"/>
                    <a:ea typeface="Times New Roman"/>
                    <a:cs typeface="Times New Roman"/>
                  </a:defRPr>
                </a:pPr>
                <a:r>
                  <a:rPr lang="en-US"/>
                  <a:t>attackers</a:t>
                </a:r>
              </a:p>
            </c:rich>
          </c:tx>
          <c:layout>
            <c:manualLayout>
              <c:xMode val="edge"/>
              <c:yMode val="edge"/>
              <c:x val="0.35435530018207184"/>
              <c:y val="0.8140724620477716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Times New Roman"/>
                <a:ea typeface="Times New Roman"/>
                <a:cs typeface="Times New Roman"/>
              </a:defRPr>
            </a:pPr>
            <a:endParaRPr lang="en-US"/>
          </a:p>
        </c:txPr>
        <c:crossAx val="1"/>
        <c:crosses val="autoZero"/>
        <c:crossBetween val="midCat"/>
        <c:majorUnit val="1"/>
        <c:minorUnit val="1"/>
      </c:valAx>
      <c:valAx>
        <c:axId val="1"/>
        <c:scaling>
          <c:orientation val="minMax"/>
        </c:scaling>
        <c:delete val="0"/>
        <c:axPos val="l"/>
        <c:title>
          <c:tx>
            <c:rich>
              <a:bodyPr/>
              <a:lstStyle/>
              <a:p>
                <a:pPr>
                  <a:defRPr sz="875" b="0" i="0" u="none" strike="noStrike" baseline="0">
                    <a:solidFill>
                      <a:srgbClr val="000000"/>
                    </a:solidFill>
                    <a:latin typeface="Times New Roman"/>
                    <a:ea typeface="Times New Roman"/>
                    <a:cs typeface="Times New Roman"/>
                  </a:defRPr>
                </a:pPr>
                <a:r>
                  <a:rPr lang="en-US"/>
                  <a:t>probability</a:t>
                </a:r>
              </a:p>
            </c:rich>
          </c:tx>
          <c:layout>
            <c:manualLayout>
              <c:xMode val="edge"/>
              <c:yMode val="edge"/>
              <c:x val="4.8048048048048048E-2"/>
              <c:y val="0.251256808979279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Times New Roman"/>
                <a:ea typeface="Times New Roman"/>
                <a:cs typeface="Times New Roman"/>
              </a:defRPr>
            </a:pPr>
            <a:endParaRPr lang="en-US"/>
          </a:p>
        </c:txPr>
        <c:crossAx val="430206864"/>
        <c:crosses val="autoZero"/>
        <c:crossBetween val="midCat"/>
      </c:valAx>
      <c:spPr>
        <a:solidFill>
          <a:srgbClr val="C0C0C0"/>
        </a:solidFill>
        <a:ln w="12700">
          <a:solidFill>
            <a:srgbClr val="808080"/>
          </a:solidFill>
          <a:prstDash val="solid"/>
        </a:ln>
      </c:spPr>
    </c:plotArea>
    <c:legend>
      <c:legendPos val="r"/>
      <c:layout>
        <c:manualLayout>
          <c:xMode val="edge"/>
          <c:yMode val="edge"/>
          <c:wMode val="edge"/>
          <c:hMode val="edge"/>
          <c:x val="0.73573794266707659"/>
          <c:y val="0.30150806526068663"/>
          <c:w val="0.97597881345912851"/>
          <c:h val="0.50753874358669993"/>
        </c:manualLayout>
      </c:layout>
      <c:overlay val="0"/>
      <c:spPr>
        <a:solidFill>
          <a:srgbClr val="FFFFFF"/>
        </a:solidFill>
        <a:ln w="3175">
          <a:solidFill>
            <a:srgbClr val="000000"/>
          </a:solidFill>
          <a:prstDash val="solid"/>
        </a:ln>
      </c:spPr>
      <c:txPr>
        <a:bodyPr/>
        <a:lstStyle/>
        <a:p>
          <a:pPr>
            <a:defRPr sz="80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4</xdr:col>
      <xdr:colOff>381000</xdr:colOff>
      <xdr:row>5</xdr:row>
      <xdr:rowOff>104775</xdr:rowOff>
    </xdr:from>
    <xdr:to>
      <xdr:col>9</xdr:col>
      <xdr:colOff>428625</xdr:colOff>
      <xdr:row>11</xdr:row>
      <xdr:rowOff>114300</xdr:rowOff>
    </xdr:to>
    <xdr:sp macro="" textlink="">
      <xdr:nvSpPr>
        <xdr:cNvPr id="2" name="TextBox 1">
          <a:extLst>
            <a:ext uri="{FF2B5EF4-FFF2-40B4-BE49-F238E27FC236}">
              <a16:creationId xmlns:a16="http://schemas.microsoft.com/office/drawing/2014/main" id="{7183096E-12F5-4CC1-B397-E32480C90B24}"/>
            </a:ext>
          </a:extLst>
        </xdr:cNvPr>
        <xdr:cNvSpPr txBox="1"/>
      </xdr:nvSpPr>
      <xdr:spPr>
        <a:xfrm>
          <a:off x="2514600" y="914400"/>
          <a:ext cx="2714625" cy="981075"/>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a:t>
          </a:r>
          <a:r>
            <a:rPr lang="en-US" sz="1100" baseline="0"/>
            <a:t> adjustable (yellow) cells are used by Solver to minimize the average number of surviving targets (pink).  Expected Value Analysis (EVA) is used.  Compare with DPDefender sheet.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11</xdr:row>
          <xdr:rowOff>133350</xdr:rowOff>
        </xdr:from>
        <xdr:to>
          <xdr:col>15</xdr:col>
          <xdr:colOff>47625</xdr:colOff>
          <xdr:row>13</xdr:row>
          <xdr:rowOff>66675</xdr:rowOff>
        </xdr:to>
        <xdr:sp macro="" textlink="">
          <xdr:nvSpPr>
            <xdr:cNvPr id="23553" name="CommandButton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2</xdr:row>
          <xdr:rowOff>95250</xdr:rowOff>
        </xdr:from>
        <xdr:to>
          <xdr:col>15</xdr:col>
          <xdr:colOff>19050</xdr:colOff>
          <xdr:row>4</xdr:row>
          <xdr:rowOff>19050</xdr:rowOff>
        </xdr:to>
        <xdr:sp macro="" textlink="">
          <xdr:nvSpPr>
            <xdr:cNvPr id="23554" name="CommandButton2"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12</xdr:row>
      <xdr:rowOff>28575</xdr:rowOff>
    </xdr:from>
    <xdr:to>
      <xdr:col>11</xdr:col>
      <xdr:colOff>82555</xdr:colOff>
      <xdr:row>22</xdr:row>
      <xdr:rowOff>123825</xdr:rowOff>
    </xdr:to>
    <xdr:sp macro="" textlink="">
      <xdr:nvSpPr>
        <xdr:cNvPr id="24577" name="Text Box 1">
          <a:extLst>
            <a:ext uri="{FF2B5EF4-FFF2-40B4-BE49-F238E27FC236}">
              <a16:creationId xmlns:a16="http://schemas.microsoft.com/office/drawing/2014/main" id="{42626C84-4DE1-4E14-88F1-71F4A0B0417B}"/>
            </a:ext>
          </a:extLst>
        </xdr:cNvPr>
        <xdr:cNvSpPr txBox="1">
          <a:spLocks noChangeArrowheads="1"/>
        </xdr:cNvSpPr>
      </xdr:nvSpPr>
      <xdr:spPr bwMode="auto">
        <a:xfrm>
          <a:off x="28575" y="1971675"/>
          <a:ext cx="5819775" cy="1714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Times New Roman"/>
              <a:cs typeface="Times New Roman"/>
            </a:rPr>
            <a:t>Two procedures for shooting at a target in one dimension are constrasted: SAS and 3CAL.  SAS gradually adjusts the aimpoint in response to feedback X, while 3CAL does it only once, after the third shot. The figure illustrates this.   Since the report X is the distance between target and shot, the target is hit in either case if the absolute value of X is smaller than the lethal radius R.  By pressing F9 repeatedly, you will see that there are cases where 3CAL hits the target, while SAS does not, as well as vice versa, and that the aiming procedures seem to be identical on the fourth shot.  In what sense, then, is SAS "optimal"?  The answer is that the SAS kill probabilty is at least as high as the 3CAL kill probability on every shot.  To demonstrate this, let the SASGain be the difference in hits on each shot, and show that the average value of SASGain is positive on (say) the tenth shot.  Do this by using SimSheet to perform the experiment repeatedly.  This conclusion should be true no matter how you adjust the positive inputs in the green cells, as long as sig_B is large.</a:t>
          </a:r>
        </a:p>
      </xdr:txBody>
    </xdr:sp>
    <xdr:clientData/>
  </xdr:twoCellAnchor>
  <xdr:twoCellAnchor>
    <xdr:from>
      <xdr:col>11</xdr:col>
      <xdr:colOff>123825</xdr:colOff>
      <xdr:row>12</xdr:row>
      <xdr:rowOff>0</xdr:rowOff>
    </xdr:from>
    <xdr:to>
      <xdr:col>20</xdr:col>
      <xdr:colOff>390525</xdr:colOff>
      <xdr:row>26</xdr:row>
      <xdr:rowOff>76200</xdr:rowOff>
    </xdr:to>
    <xdr:graphicFrame macro="">
      <xdr:nvGraphicFramePr>
        <xdr:cNvPr id="2460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47625</xdr:colOff>
      <xdr:row>4</xdr:row>
      <xdr:rowOff>41275</xdr:rowOff>
    </xdr:from>
    <xdr:to>
      <xdr:col>16</xdr:col>
      <xdr:colOff>292124</xdr:colOff>
      <xdr:row>14</xdr:row>
      <xdr:rowOff>13</xdr:rowOff>
    </xdr:to>
    <xdr:sp macro="" textlink="">
      <xdr:nvSpPr>
        <xdr:cNvPr id="9218" name="Text Box 2">
          <a:extLst>
            <a:ext uri="{FF2B5EF4-FFF2-40B4-BE49-F238E27FC236}">
              <a16:creationId xmlns:a16="http://schemas.microsoft.com/office/drawing/2014/main" id="{C90F5AED-B961-4B3E-B942-5E88E7359809}"/>
            </a:ext>
          </a:extLst>
        </xdr:cNvPr>
        <xdr:cNvSpPr txBox="1">
          <a:spLocks noChangeArrowheads="1"/>
        </xdr:cNvSpPr>
      </xdr:nvSpPr>
      <xdr:spPr bwMode="auto">
        <a:xfrm>
          <a:off x="4591050" y="695325"/>
          <a:ext cx="3781425" cy="15716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There are M shots (one of each type) and N targets, with N&lt;9.  The upper left range of this sheet is an input MxN matrix of kill probabilities, plus a single last row that contains target values, so there should be M+1 rows and N columns.  </a:t>
          </a:r>
          <a:r>
            <a:rPr lang="en-US" sz="1000" b="1" i="0" strike="noStrike">
              <a:solidFill>
                <a:srgbClr val="000000"/>
              </a:solidFill>
              <a:latin typeface="Arial"/>
              <a:cs typeface="Arial"/>
            </a:rPr>
            <a:t>Pressing the "Compute Optimal" button when M and/or N is larger than about 4 may commit your computer to a very long computation!  </a:t>
          </a:r>
          <a:r>
            <a:rPr lang="en-US" sz="1000" b="0" i="0" strike="noStrike">
              <a:solidFill>
                <a:srgbClr val="000000"/>
              </a:solidFill>
              <a:latin typeface="Arial"/>
              <a:cs typeface="Arial"/>
            </a:rPr>
            <a:t>The Myopic/Upper computation is not similarly risky. Output cells are yellow.</a:t>
          </a:r>
        </a:p>
      </xdr:txBody>
    </xdr:sp>
    <xdr:clientData/>
  </xdr:twoCellAnchor>
  <mc:AlternateContent xmlns:mc="http://schemas.openxmlformats.org/markup-compatibility/2006">
    <mc:Choice xmlns:a14="http://schemas.microsoft.com/office/drawing/2010/main" Requires="a14">
      <xdr:twoCellAnchor editAs="oneCell">
        <xdr:from>
          <xdr:col>11</xdr:col>
          <xdr:colOff>266700</xdr:colOff>
          <xdr:row>1</xdr:row>
          <xdr:rowOff>152400</xdr:rowOff>
        </xdr:from>
        <xdr:to>
          <xdr:col>14</xdr:col>
          <xdr:colOff>0</xdr:colOff>
          <xdr:row>3</xdr:row>
          <xdr:rowOff>133350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9525</xdr:rowOff>
        </xdr:from>
        <xdr:to>
          <xdr:col>15</xdr:col>
          <xdr:colOff>209550</xdr:colOff>
          <xdr:row>1</xdr:row>
          <xdr:rowOff>152400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117475</xdr:colOff>
      <xdr:row>3</xdr:row>
      <xdr:rowOff>57150</xdr:rowOff>
    </xdr:from>
    <xdr:to>
      <xdr:col>11</xdr:col>
      <xdr:colOff>327025</xdr:colOff>
      <xdr:row>5</xdr:row>
      <xdr:rowOff>136575</xdr:rowOff>
    </xdr:to>
    <xdr:sp macro="[0]!infoLP" textlink="">
      <xdr:nvSpPr>
        <xdr:cNvPr id="10241" name="Oval 1">
          <a:extLst>
            <a:ext uri="{FF2B5EF4-FFF2-40B4-BE49-F238E27FC236}">
              <a16:creationId xmlns:a16="http://schemas.microsoft.com/office/drawing/2014/main" id="{EAA2983A-4687-4AA6-A1A7-33093CE4E42F}"/>
            </a:ext>
          </a:extLst>
        </xdr:cNvPr>
        <xdr:cNvSpPr>
          <a:spLocks noChangeArrowheads="1"/>
        </xdr:cNvSpPr>
      </xdr:nvSpPr>
      <xdr:spPr bwMode="auto">
        <a:xfrm>
          <a:off x="4657725" y="542925"/>
          <a:ext cx="1219200" cy="409575"/>
        </a:xfrm>
        <a:prstGeom prst="ellipse">
          <a:avLst/>
        </a:prstGeom>
        <a:solidFill>
          <a:srgbClr val="FFFF99">
            <a:alpha val="50000"/>
          </a:srgbClr>
        </a:solidFill>
        <a:ln w="9525">
          <a:solidFill>
            <a:srgbClr val="000000"/>
          </a:solidFill>
          <a:round/>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Information</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11</xdr:row>
          <xdr:rowOff>133350</xdr:rowOff>
        </xdr:from>
        <xdr:to>
          <xdr:col>15</xdr:col>
          <xdr:colOff>47625</xdr:colOff>
          <xdr:row>13</xdr:row>
          <xdr:rowOff>66675</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2</xdr:row>
          <xdr:rowOff>95250</xdr:rowOff>
        </xdr:from>
        <xdr:to>
          <xdr:col>15</xdr:col>
          <xdr:colOff>19050</xdr:colOff>
          <xdr:row>4</xdr:row>
          <xdr:rowOff>19050</xdr:rowOff>
        </xdr:to>
        <xdr:sp macro="" textlink="">
          <xdr:nvSpPr>
            <xdr:cNvPr id="20482" name="CommandButton2"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415925</xdr:colOff>
      <xdr:row>17</xdr:row>
      <xdr:rowOff>19050</xdr:rowOff>
    </xdr:from>
    <xdr:to>
      <xdr:col>11</xdr:col>
      <xdr:colOff>307997</xdr:colOff>
      <xdr:row>23</xdr:row>
      <xdr:rowOff>57150</xdr:rowOff>
    </xdr:to>
    <xdr:sp macro="" textlink="">
      <xdr:nvSpPr>
        <xdr:cNvPr id="21511" name="Text Box 1">
          <a:extLst>
            <a:ext uri="{FF2B5EF4-FFF2-40B4-BE49-F238E27FC236}">
              <a16:creationId xmlns:a16="http://schemas.microsoft.com/office/drawing/2014/main" id="{E96F7126-F34B-4B44-B136-FEBCA857984F}"/>
            </a:ext>
          </a:extLst>
        </xdr:cNvPr>
        <xdr:cNvSpPr txBox="1">
          <a:spLocks noChangeArrowheads="1"/>
        </xdr:cNvSpPr>
      </xdr:nvSpPr>
      <xdr:spPr bwMode="auto">
        <a:xfrm>
          <a:off x="463550" y="2717800"/>
          <a:ext cx="6019800" cy="990600"/>
        </a:xfrm>
        <a:prstGeom prst="rect">
          <a:avLst/>
        </a:prstGeom>
        <a:solidFill>
          <a:srgbClr val="FFFFFF"/>
        </a:solidFill>
        <a:ln w="9525">
          <a:solidFill>
            <a:srgbClr val="000000"/>
          </a:solidFill>
          <a:miter lim="800000"/>
          <a:headEnd/>
          <a:tailEnd/>
        </a:ln>
      </xdr:spPr>
      <xdr:txBody>
        <a:bodyPr vertOverflow="clip" wrap="square" lIns="27432" tIns="22860" rIns="0" bIns="0" anchor="t"/>
        <a:lstStyle/>
        <a:p>
          <a:pPr algn="l" rtl="0">
            <a:defRPr sz="1000"/>
          </a:pPr>
          <a:r>
            <a:rPr lang="en-US" sz="1000" b="0" i="0" u="none" strike="noStrike" baseline="0">
              <a:solidFill>
                <a:srgbClr val="000000"/>
              </a:solidFill>
              <a:latin typeface="Arial"/>
              <a:cs typeface="Arial"/>
            </a:rPr>
            <a:t>There are m interceptors available when an attacker shows up.  Additional attackers will arrive until one of them finally kills the target, and the defense wishes to maximize the cost in attackers required to kill the target.  Pink cells show the optimal number of interceptors to save for the future (m-x)  when m interceptors remain.  A cell is pink if it is the largest number in its row.   The average number of attackers required to kill the target (c), is graphed.</a:t>
          </a:r>
        </a:p>
      </xdr:txBody>
    </xdr:sp>
    <xdr:clientData/>
  </xdr:twoCellAnchor>
  <xdr:twoCellAnchor>
    <xdr:from>
      <xdr:col>3</xdr:col>
      <xdr:colOff>323850</xdr:colOff>
      <xdr:row>23</xdr:row>
      <xdr:rowOff>133350</xdr:rowOff>
    </xdr:from>
    <xdr:to>
      <xdr:col>10</xdr:col>
      <xdr:colOff>476250</xdr:colOff>
      <xdr:row>42</xdr:row>
      <xdr:rowOff>57150</xdr:rowOff>
    </xdr:to>
    <xdr:graphicFrame macro="">
      <xdr:nvGraphicFramePr>
        <xdr:cNvPr id="2152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209550</xdr:colOff>
      <xdr:row>5</xdr:row>
      <xdr:rowOff>95250</xdr:rowOff>
    </xdr:from>
    <xdr:to>
      <xdr:col>11</xdr:col>
      <xdr:colOff>180975</xdr:colOff>
      <xdr:row>17</xdr:row>
      <xdr:rowOff>9525</xdr:rowOff>
    </xdr:to>
    <xdr:graphicFrame macro="">
      <xdr:nvGraphicFramePr>
        <xdr:cNvPr id="411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447675</xdr:colOff>
      <xdr:row>12</xdr:row>
      <xdr:rowOff>95250</xdr:rowOff>
    </xdr:from>
    <xdr:to>
      <xdr:col>13</xdr:col>
      <xdr:colOff>523875</xdr:colOff>
      <xdr:row>24</xdr:row>
      <xdr:rowOff>76200</xdr:rowOff>
    </xdr:to>
    <xdr:sp macro="" textlink="">
      <xdr:nvSpPr>
        <xdr:cNvPr id="2" name="Text Box 5">
          <a:extLst>
            <a:ext uri="{FF2B5EF4-FFF2-40B4-BE49-F238E27FC236}">
              <a16:creationId xmlns:a16="http://schemas.microsoft.com/office/drawing/2014/main" id="{A7009536-7687-4170-863E-DAA24CFB2076}"/>
            </a:ext>
          </a:extLst>
        </xdr:cNvPr>
        <xdr:cNvSpPr txBox="1">
          <a:spLocks noChangeArrowheads="1"/>
        </xdr:cNvSpPr>
      </xdr:nvSpPr>
      <xdr:spPr bwMode="auto">
        <a:xfrm>
          <a:off x="5000625" y="2076450"/>
          <a:ext cx="2870200" cy="19621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Times New Roman"/>
              <a:cs typeface="Times New Roman"/>
            </a:rPr>
            <a:t>This sheet solves equation (4.6) for at most 3 attackers (i) and exactly 4 interceptors.  Inputs (green) are the attacker and interceptor kill probabilities, and the distribution of the number of attackers.  Outputs (yellow) are the DP objective function for each number of attackers that have already been survived.  The number of interceptors available is the blue row index, and the number to save for the future is the blue column index.  The best number to save for the future can be determined by inspecting the row entries for a maximum.</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MyDocs\Excel\Firi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washburn\AppData\Local\Microsoft\Windows\Temporary%20Internet%20Files\Content.Outlook\2NGCRFMP\Chapter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mma"/>
      <sheetName val="Patterns"/>
      <sheetName val="DynProg"/>
      <sheetName val="formula2_9"/>
      <sheetName val="DG"/>
      <sheetName val="PrimRead"/>
      <sheetName val="EMTCMP"/>
    </sheetNames>
    <sheetDataSet>
      <sheetData sheetId="0"/>
      <sheetData sheetId="1" refreshError="1"/>
      <sheetData sheetId="2" refreshError="1"/>
      <sheetData sheetId="3"/>
      <sheetData sheetId="4">
        <row r="1">
          <cell r="A1" t="str">
            <v>x</v>
          </cell>
        </row>
        <row r="2">
          <cell r="A2">
            <v>30</v>
          </cell>
        </row>
        <row r="3">
          <cell r="A3">
            <v>-30</v>
          </cell>
        </row>
        <row r="4">
          <cell r="A4">
            <v>-60</v>
          </cell>
        </row>
        <row r="5">
          <cell r="A5">
            <v>-60</v>
          </cell>
        </row>
      </sheetData>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lipQ"/>
      <sheetName val="OffsetQ"/>
      <sheetName val="Gamma"/>
      <sheetName val="DGGenrl"/>
      <sheetName val="EMTCMP"/>
      <sheetName val="Patterns"/>
      <sheetName val="DGPattn"/>
      <sheetName val="SULR_SOLR"/>
      <sheetName val="Surv"/>
      <sheetName val="OptRand"/>
      <sheetName val="Shotgun"/>
    </sheetNames>
    <sheetDataSet>
      <sheetData sheetId="0"/>
      <sheetData sheetId="1"/>
      <sheetData sheetId="2"/>
      <sheetData sheetId="3"/>
      <sheetData sheetId="4"/>
      <sheetData sheetId="5"/>
      <sheetData sheetId="6">
        <row r="1">
          <cell r="A1" t="str">
            <v>x</v>
          </cell>
        </row>
        <row r="2">
          <cell r="A2">
            <v>30</v>
          </cell>
        </row>
        <row r="3">
          <cell r="A3">
            <v>30</v>
          </cell>
        </row>
        <row r="4">
          <cell r="A4">
            <v>-30</v>
          </cell>
        </row>
        <row r="5">
          <cell r="A5">
            <v>-30</v>
          </cell>
        </row>
      </sheetData>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Custom 2">
      <a:dk1>
        <a:sysClr val="windowText" lastClr="000000"/>
      </a:dk1>
      <a:lt1>
        <a:srgbClr val="FFFF0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
  <sheetViews>
    <sheetView tabSelected="1" workbookViewId="0">
      <selection activeCell="I5" sqref="I5"/>
    </sheetView>
  </sheetViews>
  <sheetFormatPr defaultRowHeight="12.75" x14ac:dyDescent="0.2"/>
  <sheetData>
    <row r="1" spans="1:8" x14ac:dyDescent="0.2">
      <c r="A1" t="s">
        <v>48</v>
      </c>
      <c r="B1" t="s">
        <v>49</v>
      </c>
      <c r="C1" t="s">
        <v>50</v>
      </c>
      <c r="D1" s="3">
        <v>7</v>
      </c>
      <c r="E1" t="s">
        <v>51</v>
      </c>
      <c r="G1" s="3">
        <v>12</v>
      </c>
      <c r="H1" t="s">
        <v>52</v>
      </c>
    </row>
    <row r="2" spans="1:8" x14ac:dyDescent="0.2">
      <c r="A2">
        <v>1</v>
      </c>
      <c r="B2" s="3">
        <v>0.5</v>
      </c>
      <c r="C2" s="62">
        <v>5.0785330062785023</v>
      </c>
      <c r="D2">
        <f>D1*B2^(C2/D1)</f>
        <v>4.2334979981617318</v>
      </c>
    </row>
    <row r="3" spans="1:8" x14ac:dyDescent="0.2">
      <c r="A3">
        <v>2</v>
      </c>
      <c r="B3" s="3">
        <v>0.5</v>
      </c>
      <c r="C3" s="62">
        <v>3.9912182050615992</v>
      </c>
      <c r="D3">
        <f>D2*B3^(C3/D2)</f>
        <v>2.2024044468941986</v>
      </c>
    </row>
    <row r="4" spans="1:8" x14ac:dyDescent="0.2">
      <c r="A4">
        <v>3</v>
      </c>
      <c r="B4" s="3">
        <v>0.5</v>
      </c>
      <c r="C4" s="62">
        <v>2.9302487886598994</v>
      </c>
      <c r="D4" s="63">
        <f>D3*B4^(C4/D3)</f>
        <v>0.87575685406765669</v>
      </c>
      <c r="E4" t="s">
        <v>53</v>
      </c>
    </row>
    <row r="5" spans="1:8" x14ac:dyDescent="0.2">
      <c r="C5">
        <f>SUM(C2:C4)</f>
        <v>12</v>
      </c>
    </row>
    <row r="6" spans="1:8" x14ac:dyDescent="0.2">
      <c r="H6" s="2"/>
    </row>
    <row r="8" spans="1:8" x14ac:dyDescent="0.2">
      <c r="E8" s="2"/>
    </row>
  </sheetData>
  <phoneticPr fontId="4"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R59"/>
  <sheetViews>
    <sheetView workbookViewId="0">
      <selection activeCell="Y15" sqref="Y15"/>
    </sheetView>
  </sheetViews>
  <sheetFormatPr defaultRowHeight="14.1" customHeight="1" x14ac:dyDescent="0.2"/>
  <cols>
    <col min="1" max="1" width="4.83203125" customWidth="1"/>
    <col min="2" max="9" width="6.83203125" customWidth="1"/>
    <col min="10" max="18" width="4.83203125" customWidth="1"/>
  </cols>
  <sheetData>
    <row r="1" spans="1:18" ht="14.1" customHeight="1" x14ac:dyDescent="0.2">
      <c r="A1">
        <v>6</v>
      </c>
      <c r="B1">
        <v>0</v>
      </c>
      <c r="C1">
        <v>1</v>
      </c>
      <c r="D1">
        <v>2</v>
      </c>
      <c r="E1">
        <v>3</v>
      </c>
      <c r="F1">
        <v>4</v>
      </c>
      <c r="G1">
        <v>5</v>
      </c>
      <c r="H1">
        <v>6</v>
      </c>
      <c r="I1">
        <v>7</v>
      </c>
    </row>
    <row r="2" spans="1:18" ht="14.1" customHeight="1" x14ac:dyDescent="0.2">
      <c r="A2">
        <v>0</v>
      </c>
      <c r="B2" s="28">
        <v>0</v>
      </c>
      <c r="C2" s="28">
        <f t="shared" ref="C2:I14" si="0">C$1</f>
        <v>1</v>
      </c>
      <c r="D2" s="28">
        <f t="shared" si="0"/>
        <v>2</v>
      </c>
      <c r="E2" s="28">
        <f t="shared" si="0"/>
        <v>3</v>
      </c>
      <c r="F2" s="28">
        <f t="shared" si="0"/>
        <v>4</v>
      </c>
      <c r="G2" s="28">
        <f t="shared" si="0"/>
        <v>5</v>
      </c>
      <c r="H2" s="28">
        <f t="shared" si="0"/>
        <v>6</v>
      </c>
      <c r="I2" s="28">
        <f t="shared" si="0"/>
        <v>7</v>
      </c>
      <c r="K2" s="2"/>
      <c r="L2" s="2"/>
      <c r="M2" s="2"/>
      <c r="N2" s="2"/>
      <c r="O2" s="2"/>
      <c r="P2" s="2"/>
      <c r="Q2" s="2"/>
    </row>
    <row r="3" spans="1:18" ht="14.1" customHeight="1" x14ac:dyDescent="0.2">
      <c r="A3">
        <v>1</v>
      </c>
      <c r="B3" s="28">
        <f t="shared" ref="B3:B14" si="1">B$1</f>
        <v>0</v>
      </c>
      <c r="C3" s="28">
        <f t="shared" si="0"/>
        <v>1</v>
      </c>
      <c r="D3" s="28">
        <f t="shared" si="0"/>
        <v>2</v>
      </c>
      <c r="E3" s="28">
        <f t="shared" si="0"/>
        <v>3</v>
      </c>
      <c r="F3" s="28">
        <f t="shared" si="0"/>
        <v>4</v>
      </c>
      <c r="G3" s="28">
        <f t="shared" si="0"/>
        <v>5</v>
      </c>
      <c r="H3" s="28">
        <f t="shared" si="0"/>
        <v>6</v>
      </c>
      <c r="I3" s="28">
        <f t="shared" si="0"/>
        <v>7</v>
      </c>
    </row>
    <row r="4" spans="1:18" ht="14.1" customHeight="1" x14ac:dyDescent="0.2">
      <c r="A4">
        <v>2</v>
      </c>
      <c r="B4" s="28">
        <f t="shared" si="1"/>
        <v>0</v>
      </c>
      <c r="C4" s="28">
        <f t="shared" si="0"/>
        <v>1</v>
      </c>
      <c r="D4" s="28">
        <f t="shared" si="0"/>
        <v>2</v>
      </c>
      <c r="E4" s="28">
        <f t="shared" si="0"/>
        <v>3</v>
      </c>
      <c r="F4" s="28">
        <f t="shared" si="0"/>
        <v>4</v>
      </c>
      <c r="G4" s="28">
        <f t="shared" si="0"/>
        <v>5</v>
      </c>
      <c r="H4" s="28">
        <f t="shared" si="0"/>
        <v>6</v>
      </c>
      <c r="I4" s="28">
        <f t="shared" si="0"/>
        <v>7</v>
      </c>
    </row>
    <row r="5" spans="1:18" ht="14.1" customHeight="1" thickBot="1" x14ac:dyDescent="0.25">
      <c r="A5">
        <v>3</v>
      </c>
      <c r="B5" s="28">
        <f t="shared" si="1"/>
        <v>0</v>
      </c>
      <c r="C5" s="28">
        <f t="shared" si="0"/>
        <v>1</v>
      </c>
      <c r="D5" s="28">
        <f t="shared" si="0"/>
        <v>2</v>
      </c>
      <c r="E5" s="28">
        <f t="shared" si="0"/>
        <v>3</v>
      </c>
      <c r="F5" s="28">
        <f t="shared" si="0"/>
        <v>4</v>
      </c>
      <c r="G5" s="28">
        <f t="shared" si="0"/>
        <v>5</v>
      </c>
      <c r="H5" s="28">
        <f t="shared" si="0"/>
        <v>6</v>
      </c>
      <c r="I5" s="28">
        <f t="shared" si="0"/>
        <v>7</v>
      </c>
    </row>
    <row r="6" spans="1:18" ht="14.1" customHeight="1" thickTop="1" x14ac:dyDescent="0.2">
      <c r="A6">
        <v>4</v>
      </c>
      <c r="B6" s="28">
        <f t="shared" si="1"/>
        <v>0</v>
      </c>
      <c r="C6" s="28">
        <f t="shared" si="0"/>
        <v>1</v>
      </c>
      <c r="D6" s="28">
        <f t="shared" si="0"/>
        <v>2</v>
      </c>
      <c r="E6" s="28">
        <f t="shared" si="0"/>
        <v>3</v>
      </c>
      <c r="F6" s="28">
        <f t="shared" si="0"/>
        <v>4</v>
      </c>
      <c r="G6" s="28">
        <f t="shared" si="0"/>
        <v>5</v>
      </c>
      <c r="H6" s="28">
        <f t="shared" si="0"/>
        <v>6</v>
      </c>
      <c r="I6" s="28">
        <f t="shared" si="0"/>
        <v>7</v>
      </c>
      <c r="K6" s="22" t="s">
        <v>19</v>
      </c>
      <c r="L6" s="23"/>
      <c r="M6" s="23"/>
      <c r="N6" s="23"/>
      <c r="O6" s="23"/>
      <c r="P6" s="23"/>
      <c r="Q6" s="23"/>
      <c r="R6" s="24"/>
    </row>
    <row r="7" spans="1:18" ht="14.1" customHeight="1" x14ac:dyDescent="0.2">
      <c r="A7">
        <v>5</v>
      </c>
      <c r="B7" s="28">
        <f t="shared" si="1"/>
        <v>0</v>
      </c>
      <c r="C7" s="28">
        <f t="shared" si="0"/>
        <v>1</v>
      </c>
      <c r="D7" s="28">
        <f t="shared" si="0"/>
        <v>2</v>
      </c>
      <c r="E7" s="28">
        <f t="shared" si="0"/>
        <v>3</v>
      </c>
      <c r="F7" s="28">
        <f t="shared" si="0"/>
        <v>4</v>
      </c>
      <c r="G7" s="28">
        <f t="shared" si="0"/>
        <v>5</v>
      </c>
      <c r="H7" s="28">
        <f t="shared" si="0"/>
        <v>6</v>
      </c>
      <c r="I7" s="28">
        <f t="shared" si="0"/>
        <v>7</v>
      </c>
      <c r="K7" s="25" t="s">
        <v>18</v>
      </c>
      <c r="L7" s="26"/>
      <c r="M7" s="26"/>
      <c r="N7" s="26"/>
      <c r="O7" s="26"/>
      <c r="P7" s="26"/>
      <c r="Q7" s="26"/>
      <c r="R7" s="27"/>
    </row>
    <row r="8" spans="1:18" ht="14.1" customHeight="1" x14ac:dyDescent="0.2">
      <c r="A8">
        <v>6</v>
      </c>
      <c r="B8" s="28">
        <f t="shared" si="1"/>
        <v>0</v>
      </c>
      <c r="C8" s="28">
        <f t="shared" si="0"/>
        <v>1</v>
      </c>
      <c r="D8" s="28">
        <f t="shared" si="0"/>
        <v>2</v>
      </c>
      <c r="E8" s="28">
        <f t="shared" si="0"/>
        <v>3</v>
      </c>
      <c r="F8" s="28">
        <f t="shared" si="0"/>
        <v>4</v>
      </c>
      <c r="G8" s="28">
        <f t="shared" si="0"/>
        <v>5</v>
      </c>
      <c r="H8" s="28">
        <f t="shared" si="0"/>
        <v>6</v>
      </c>
      <c r="I8" s="28">
        <f t="shared" si="0"/>
        <v>7</v>
      </c>
      <c r="K8" s="4" t="s">
        <v>17</v>
      </c>
      <c r="L8" s="5"/>
      <c r="M8" s="5"/>
      <c r="N8" s="5"/>
      <c r="O8" s="5"/>
      <c r="P8" s="5"/>
      <c r="Q8" s="5"/>
      <c r="R8" s="6"/>
    </row>
    <row r="9" spans="1:18" ht="14.1" customHeight="1" x14ac:dyDescent="0.2">
      <c r="A9">
        <v>7</v>
      </c>
      <c r="B9" s="28">
        <f t="shared" si="1"/>
        <v>0</v>
      </c>
      <c r="C9" s="28">
        <f t="shared" si="0"/>
        <v>1</v>
      </c>
      <c r="D9" s="28">
        <f t="shared" si="0"/>
        <v>2</v>
      </c>
      <c r="E9" s="28">
        <f t="shared" si="0"/>
        <v>3</v>
      </c>
      <c r="F9" s="28">
        <f t="shared" si="0"/>
        <v>4</v>
      </c>
      <c r="G9" s="28">
        <f t="shared" si="0"/>
        <v>5</v>
      </c>
      <c r="H9" s="28">
        <f t="shared" si="0"/>
        <v>6</v>
      </c>
      <c r="I9" s="28">
        <f t="shared" si="0"/>
        <v>7</v>
      </c>
      <c r="K9" s="4" t="s">
        <v>20</v>
      </c>
      <c r="L9" s="5"/>
      <c r="M9" s="5"/>
      <c r="N9" s="5"/>
      <c r="O9" s="5"/>
      <c r="P9" s="5"/>
      <c r="Q9" s="5"/>
      <c r="R9" s="6"/>
    </row>
    <row r="10" spans="1:18" ht="14.1" customHeight="1" x14ac:dyDescent="0.2">
      <c r="A10">
        <v>8</v>
      </c>
      <c r="B10" s="28">
        <f t="shared" si="1"/>
        <v>0</v>
      </c>
      <c r="C10" s="28">
        <f t="shared" si="0"/>
        <v>1</v>
      </c>
      <c r="D10" s="28">
        <f t="shared" si="0"/>
        <v>2</v>
      </c>
      <c r="E10" s="28">
        <f t="shared" si="0"/>
        <v>3</v>
      </c>
      <c r="F10" s="28">
        <f t="shared" si="0"/>
        <v>4</v>
      </c>
      <c r="G10" s="28">
        <f t="shared" si="0"/>
        <v>5</v>
      </c>
      <c r="H10" s="28">
        <f t="shared" si="0"/>
        <v>6</v>
      </c>
      <c r="I10" s="28">
        <f t="shared" si="0"/>
        <v>7</v>
      </c>
      <c r="K10" s="7" t="s">
        <v>13</v>
      </c>
      <c r="L10" s="8"/>
      <c r="M10" s="8"/>
      <c r="N10" s="8"/>
      <c r="O10" s="8"/>
      <c r="P10" s="8"/>
      <c r="Q10" s="8"/>
      <c r="R10" s="9"/>
    </row>
    <row r="11" spans="1:18" ht="14.1" customHeight="1" thickBot="1" x14ac:dyDescent="0.25">
      <c r="A11">
        <v>9</v>
      </c>
      <c r="B11" s="28">
        <f t="shared" si="1"/>
        <v>0</v>
      </c>
      <c r="C11" s="28">
        <f t="shared" si="0"/>
        <v>1</v>
      </c>
      <c r="D11" s="28">
        <f t="shared" si="0"/>
        <v>2</v>
      </c>
      <c r="E11" s="28">
        <f t="shared" si="0"/>
        <v>3</v>
      </c>
      <c r="F11" s="28">
        <f t="shared" si="0"/>
        <v>4</v>
      </c>
      <c r="G11" s="28">
        <f t="shared" si="0"/>
        <v>5</v>
      </c>
      <c r="H11" s="28">
        <f t="shared" si="0"/>
        <v>6</v>
      </c>
      <c r="I11" s="28">
        <f t="shared" si="0"/>
        <v>7</v>
      </c>
      <c r="K11" s="10" t="s">
        <v>45</v>
      </c>
      <c r="L11" s="11"/>
      <c r="M11" s="11"/>
      <c r="N11" s="11"/>
      <c r="O11" s="11"/>
      <c r="P11" s="11"/>
      <c r="Q11" s="11"/>
      <c r="R11" s="12"/>
    </row>
    <row r="12" spans="1:18" ht="14.1" customHeight="1" thickTop="1" x14ac:dyDescent="0.2">
      <c r="A12">
        <v>10</v>
      </c>
      <c r="B12" s="28">
        <f t="shared" si="1"/>
        <v>0</v>
      </c>
      <c r="C12" s="28">
        <f t="shared" si="0"/>
        <v>1</v>
      </c>
      <c r="D12" s="28">
        <f t="shared" si="0"/>
        <v>2</v>
      </c>
      <c r="E12" s="28">
        <f t="shared" si="0"/>
        <v>3</v>
      </c>
      <c r="F12" s="28">
        <f t="shared" si="0"/>
        <v>4</v>
      </c>
      <c r="G12" s="28">
        <f t="shared" si="0"/>
        <v>5</v>
      </c>
      <c r="H12" s="28">
        <f t="shared" si="0"/>
        <v>6</v>
      </c>
      <c r="I12" s="28">
        <f t="shared" si="0"/>
        <v>7</v>
      </c>
      <c r="K12" s="2"/>
      <c r="L12" s="2"/>
      <c r="M12" s="2"/>
      <c r="N12" s="2"/>
      <c r="O12" s="2"/>
      <c r="P12" s="2"/>
      <c r="Q12" s="2"/>
      <c r="R12" s="2"/>
    </row>
    <row r="13" spans="1:18" ht="14.1" customHeight="1" x14ac:dyDescent="0.2">
      <c r="A13">
        <v>11</v>
      </c>
      <c r="B13" s="28">
        <f t="shared" si="1"/>
        <v>0</v>
      </c>
      <c r="C13" s="28">
        <f t="shared" si="0"/>
        <v>1</v>
      </c>
      <c r="D13" s="28">
        <f t="shared" si="0"/>
        <v>2</v>
      </c>
      <c r="E13" s="28">
        <f t="shared" si="0"/>
        <v>3</v>
      </c>
      <c r="F13" s="28">
        <f t="shared" si="0"/>
        <v>4</v>
      </c>
      <c r="G13" s="28">
        <f t="shared" si="0"/>
        <v>5</v>
      </c>
      <c r="H13" s="28">
        <f t="shared" si="0"/>
        <v>6</v>
      </c>
      <c r="I13" s="28">
        <f t="shared" si="0"/>
        <v>7</v>
      </c>
      <c r="K13" s="2"/>
      <c r="L13" s="2"/>
      <c r="M13" s="2"/>
      <c r="N13" s="2"/>
      <c r="O13" s="2"/>
      <c r="P13" s="2"/>
      <c r="Q13" s="2"/>
      <c r="R13" s="2"/>
    </row>
    <row r="14" spans="1:18" ht="14.1" customHeight="1" x14ac:dyDescent="0.2">
      <c r="A14">
        <v>12</v>
      </c>
      <c r="B14" s="28">
        <f t="shared" si="1"/>
        <v>0</v>
      </c>
      <c r="C14" s="28">
        <f t="shared" si="0"/>
        <v>1</v>
      </c>
      <c r="D14" s="28">
        <f t="shared" si="0"/>
        <v>2</v>
      </c>
      <c r="E14" s="28">
        <f t="shared" si="0"/>
        <v>3</v>
      </c>
      <c r="F14" s="28">
        <f t="shared" si="0"/>
        <v>4</v>
      </c>
      <c r="G14" s="28">
        <f t="shared" si="0"/>
        <v>5</v>
      </c>
      <c r="H14" s="28">
        <f t="shared" si="0"/>
        <v>6</v>
      </c>
      <c r="I14" s="28">
        <f t="shared" si="0"/>
        <v>7</v>
      </c>
      <c r="K14" s="2"/>
      <c r="L14" s="2"/>
      <c r="M14" s="2"/>
      <c r="N14" s="2"/>
      <c r="O14" s="2"/>
      <c r="P14" s="2"/>
      <c r="Q14" s="2"/>
      <c r="R14" s="2"/>
    </row>
    <row r="15" spans="1:18" ht="14.1" customHeight="1" x14ac:dyDescent="0.2">
      <c r="C15" s="3">
        <v>0.5</v>
      </c>
      <c r="D15" t="s">
        <v>21</v>
      </c>
      <c r="G15" s="2"/>
    </row>
    <row r="16" spans="1:18" ht="14.1" customHeight="1" x14ac:dyDescent="0.2">
      <c r="A16" t="s">
        <v>0</v>
      </c>
      <c r="B16">
        <v>1</v>
      </c>
      <c r="C16">
        <v>2</v>
      </c>
      <c r="D16">
        <v>3</v>
      </c>
      <c r="E16">
        <v>4</v>
      </c>
      <c r="F16">
        <v>5</v>
      </c>
      <c r="G16">
        <v>6</v>
      </c>
      <c r="H16">
        <v>7</v>
      </c>
      <c r="I16">
        <v>7</v>
      </c>
      <c r="J16" t="s">
        <v>0</v>
      </c>
      <c r="K16">
        <v>0</v>
      </c>
      <c r="L16">
        <v>1</v>
      </c>
      <c r="M16">
        <v>2</v>
      </c>
      <c r="N16">
        <v>3</v>
      </c>
      <c r="O16">
        <v>4</v>
      </c>
      <c r="P16">
        <v>5</v>
      </c>
      <c r="Q16">
        <v>6</v>
      </c>
      <c r="R16">
        <v>7</v>
      </c>
    </row>
    <row r="17" spans="1:18" ht="14.1" customHeight="1" x14ac:dyDescent="0.2">
      <c r="A17">
        <v>0</v>
      </c>
      <c r="B17" s="28">
        <v>0</v>
      </c>
      <c r="C17" s="28">
        <v>1</v>
      </c>
      <c r="D17" s="28">
        <v>2</v>
      </c>
      <c r="E17" s="28">
        <v>3</v>
      </c>
      <c r="F17" s="28">
        <v>4</v>
      </c>
      <c r="G17" s="28">
        <v>5</v>
      </c>
      <c r="H17" s="28">
        <v>6</v>
      </c>
      <c r="I17" s="28">
        <v>7</v>
      </c>
      <c r="J17">
        <v>0</v>
      </c>
      <c r="K17" s="1">
        <v>0</v>
      </c>
      <c r="L17" s="1">
        <v>0</v>
      </c>
      <c r="M17" s="1">
        <v>0</v>
      </c>
      <c r="N17" s="1">
        <v>0</v>
      </c>
      <c r="O17" s="1">
        <v>0</v>
      </c>
      <c r="P17" s="1">
        <v>0</v>
      </c>
      <c r="Q17" s="1">
        <v>0</v>
      </c>
      <c r="R17" s="1">
        <v>0</v>
      </c>
    </row>
    <row r="18" spans="1:18" ht="14.1" customHeight="1" x14ac:dyDescent="0.2">
      <c r="A18">
        <v>1</v>
      </c>
      <c r="B18" s="28">
        <v>0</v>
      </c>
      <c r="C18" s="28">
        <v>0.5</v>
      </c>
      <c r="D18" s="28">
        <v>1.5</v>
      </c>
      <c r="E18" s="28">
        <v>2.5</v>
      </c>
      <c r="F18" s="28">
        <v>3.5</v>
      </c>
      <c r="G18" s="28">
        <v>4.5</v>
      </c>
      <c r="H18" s="28">
        <v>5.5</v>
      </c>
      <c r="I18" s="28">
        <v>6.5</v>
      </c>
      <c r="J18">
        <v>1</v>
      </c>
      <c r="K18" s="1">
        <v>1</v>
      </c>
      <c r="L18" s="1">
        <v>1</v>
      </c>
      <c r="M18" s="1">
        <v>1</v>
      </c>
      <c r="N18" s="1">
        <v>1</v>
      </c>
      <c r="O18" s="1">
        <v>1</v>
      </c>
      <c r="P18" s="1">
        <v>1</v>
      </c>
      <c r="Q18" s="1">
        <v>1</v>
      </c>
      <c r="R18" s="1">
        <v>1</v>
      </c>
    </row>
    <row r="19" spans="1:18" ht="14.1" customHeight="1" x14ac:dyDescent="0.2">
      <c r="A19">
        <v>2</v>
      </c>
      <c r="B19" s="28">
        <v>0</v>
      </c>
      <c r="C19" s="28">
        <v>0.25</v>
      </c>
      <c r="D19" s="28">
        <v>1</v>
      </c>
      <c r="E19" s="28">
        <v>2</v>
      </c>
      <c r="F19" s="28">
        <v>3</v>
      </c>
      <c r="G19" s="28">
        <v>4</v>
      </c>
      <c r="H19" s="28">
        <v>5</v>
      </c>
      <c r="I19" s="28">
        <v>6</v>
      </c>
      <c r="J19">
        <v>2</v>
      </c>
      <c r="K19" s="1">
        <v>2</v>
      </c>
      <c r="L19" s="1">
        <v>2</v>
      </c>
      <c r="M19" s="1">
        <v>2</v>
      </c>
      <c r="N19" s="1">
        <v>2</v>
      </c>
      <c r="O19" s="1">
        <v>2</v>
      </c>
      <c r="P19" s="1">
        <v>2</v>
      </c>
      <c r="Q19" s="1">
        <v>2</v>
      </c>
      <c r="R19" s="1">
        <v>2</v>
      </c>
    </row>
    <row r="20" spans="1:18" ht="14.1" customHeight="1" x14ac:dyDescent="0.2">
      <c r="A20">
        <v>3</v>
      </c>
      <c r="B20" s="28">
        <v>0</v>
      </c>
      <c r="C20" s="28">
        <v>0.125</v>
      </c>
      <c r="D20" s="28">
        <v>0.75</v>
      </c>
      <c r="E20" s="28">
        <v>1.5</v>
      </c>
      <c r="F20" s="28">
        <v>2.5</v>
      </c>
      <c r="G20" s="28">
        <v>3.5</v>
      </c>
      <c r="H20" s="28">
        <v>4.5</v>
      </c>
      <c r="I20" s="28">
        <v>5.5</v>
      </c>
      <c r="J20">
        <v>3</v>
      </c>
      <c r="K20" s="1">
        <v>3</v>
      </c>
      <c r="L20" s="1">
        <v>3</v>
      </c>
      <c r="M20" s="1">
        <v>3</v>
      </c>
      <c r="N20" s="1">
        <v>3</v>
      </c>
      <c r="O20" s="1">
        <v>3</v>
      </c>
      <c r="P20" s="1">
        <v>3</v>
      </c>
      <c r="Q20" s="1">
        <v>3</v>
      </c>
      <c r="R20" s="1">
        <v>3</v>
      </c>
    </row>
    <row r="21" spans="1:18" ht="14.1" customHeight="1" x14ac:dyDescent="0.2">
      <c r="A21">
        <v>4</v>
      </c>
      <c r="B21" s="28">
        <v>0</v>
      </c>
      <c r="C21" s="28">
        <v>6.25E-2</v>
      </c>
      <c r="D21" s="28">
        <v>0.5</v>
      </c>
      <c r="E21" s="28">
        <v>1.25</v>
      </c>
      <c r="F21" s="28">
        <v>2</v>
      </c>
      <c r="G21" s="28">
        <v>3</v>
      </c>
      <c r="H21" s="28">
        <v>4</v>
      </c>
      <c r="I21" s="28">
        <v>5</v>
      </c>
      <c r="J21">
        <v>4</v>
      </c>
      <c r="K21" s="1">
        <v>4</v>
      </c>
      <c r="L21" s="1">
        <v>4</v>
      </c>
      <c r="M21" s="1">
        <v>4</v>
      </c>
      <c r="N21" s="1">
        <v>4</v>
      </c>
      <c r="O21" s="1">
        <v>4</v>
      </c>
      <c r="P21" s="1">
        <v>4</v>
      </c>
      <c r="Q21" s="1">
        <v>4</v>
      </c>
      <c r="R21" s="1">
        <v>4</v>
      </c>
    </row>
    <row r="22" spans="1:18" ht="14.1" customHeight="1" x14ac:dyDescent="0.2">
      <c r="A22">
        <v>5</v>
      </c>
      <c r="B22" s="28">
        <v>0</v>
      </c>
      <c r="C22" s="28">
        <v>3.125E-2</v>
      </c>
      <c r="D22" s="28">
        <v>0.375</v>
      </c>
      <c r="E22" s="28">
        <v>1</v>
      </c>
      <c r="F22" s="28">
        <v>1.75</v>
      </c>
      <c r="G22" s="28">
        <v>2.5</v>
      </c>
      <c r="H22" s="28">
        <v>3.5</v>
      </c>
      <c r="I22" s="28">
        <v>4.5</v>
      </c>
      <c r="J22">
        <v>5</v>
      </c>
      <c r="K22" s="1">
        <v>5</v>
      </c>
      <c r="L22" s="1">
        <v>5</v>
      </c>
      <c r="M22" s="1">
        <v>5</v>
      </c>
      <c r="N22" s="1">
        <v>5</v>
      </c>
      <c r="O22" s="1">
        <v>5</v>
      </c>
      <c r="P22" s="1">
        <v>5</v>
      </c>
      <c r="Q22" s="1">
        <v>5</v>
      </c>
      <c r="R22" s="1">
        <v>5</v>
      </c>
    </row>
    <row r="23" spans="1:18" ht="14.1" customHeight="1" x14ac:dyDescent="0.2">
      <c r="A23">
        <v>6</v>
      </c>
      <c r="B23" s="28">
        <v>0</v>
      </c>
      <c r="C23" s="28">
        <v>1.5625E-2</v>
      </c>
      <c r="D23" s="28">
        <v>0.25</v>
      </c>
      <c r="E23" s="28">
        <v>0.75</v>
      </c>
      <c r="F23" s="28">
        <v>1.5</v>
      </c>
      <c r="G23" s="28">
        <v>2.25</v>
      </c>
      <c r="H23" s="28">
        <v>3</v>
      </c>
      <c r="I23" s="28">
        <v>4</v>
      </c>
      <c r="J23">
        <v>6</v>
      </c>
      <c r="K23" s="1">
        <v>6</v>
      </c>
      <c r="L23" s="1">
        <v>6</v>
      </c>
      <c r="M23" s="1">
        <v>6</v>
      </c>
      <c r="N23" s="1">
        <v>6</v>
      </c>
      <c r="O23" s="1">
        <v>6</v>
      </c>
      <c r="P23" s="1">
        <v>6</v>
      </c>
      <c r="Q23" s="1">
        <v>6</v>
      </c>
      <c r="R23" s="1">
        <v>6</v>
      </c>
    </row>
    <row r="24" spans="1:18" ht="14.1" customHeight="1" x14ac:dyDescent="0.2">
      <c r="A24">
        <v>7</v>
      </c>
      <c r="B24" s="28">
        <v>0</v>
      </c>
      <c r="C24" s="28">
        <v>7.8125E-3</v>
      </c>
      <c r="D24" s="28">
        <v>0.1875</v>
      </c>
      <c r="E24" s="28">
        <v>0.625</v>
      </c>
      <c r="F24" s="28">
        <v>1.25</v>
      </c>
      <c r="G24" s="28">
        <v>2</v>
      </c>
      <c r="H24" s="28">
        <v>2.75</v>
      </c>
      <c r="I24" s="28">
        <v>3.5</v>
      </c>
      <c r="J24">
        <v>7</v>
      </c>
      <c r="K24" s="1">
        <v>7</v>
      </c>
      <c r="L24" s="1">
        <v>7</v>
      </c>
      <c r="M24" s="1">
        <v>7</v>
      </c>
      <c r="N24" s="1">
        <v>7</v>
      </c>
      <c r="O24" s="1">
        <v>7</v>
      </c>
      <c r="P24" s="1">
        <v>7</v>
      </c>
      <c r="Q24" s="1">
        <v>7</v>
      </c>
      <c r="R24" s="1">
        <v>7</v>
      </c>
    </row>
    <row r="25" spans="1:18" ht="14.1" customHeight="1" x14ac:dyDescent="0.2">
      <c r="A25">
        <v>8</v>
      </c>
      <c r="B25" s="28">
        <v>0</v>
      </c>
      <c r="C25" s="28">
        <v>3.90625E-3</v>
      </c>
      <c r="D25" s="28">
        <v>0.125</v>
      </c>
      <c r="E25" s="28">
        <v>0.5</v>
      </c>
      <c r="F25" s="28">
        <v>1</v>
      </c>
      <c r="G25" s="28">
        <v>1.75</v>
      </c>
      <c r="H25" s="28">
        <v>2.5</v>
      </c>
      <c r="I25" s="28">
        <v>3.25</v>
      </c>
      <c r="J25">
        <v>8</v>
      </c>
      <c r="K25" s="1">
        <v>8</v>
      </c>
      <c r="L25" s="1">
        <v>8</v>
      </c>
      <c r="M25" s="1">
        <v>8</v>
      </c>
      <c r="N25" s="1">
        <v>8</v>
      </c>
      <c r="O25" s="1">
        <v>8</v>
      </c>
      <c r="P25" s="1">
        <v>8</v>
      </c>
      <c r="Q25" s="1">
        <v>8</v>
      </c>
      <c r="R25" s="1">
        <v>8</v>
      </c>
    </row>
    <row r="26" spans="1:18" ht="14.1" customHeight="1" x14ac:dyDescent="0.2">
      <c r="A26">
        <v>9</v>
      </c>
      <c r="B26" s="28">
        <v>0</v>
      </c>
      <c r="C26" s="28">
        <v>1.953125E-3</v>
      </c>
      <c r="D26" s="28">
        <v>9.375E-2</v>
      </c>
      <c r="E26" s="28">
        <v>0.375</v>
      </c>
      <c r="F26" s="28">
        <v>0.875</v>
      </c>
      <c r="G26" s="28">
        <v>1.5</v>
      </c>
      <c r="H26" s="28">
        <v>2.25</v>
      </c>
      <c r="I26" s="28">
        <v>3</v>
      </c>
      <c r="J26">
        <v>9</v>
      </c>
      <c r="K26" s="1">
        <v>9</v>
      </c>
      <c r="L26" s="1">
        <v>9</v>
      </c>
      <c r="M26" s="1">
        <v>9</v>
      </c>
      <c r="N26" s="1">
        <v>9</v>
      </c>
      <c r="O26" s="1">
        <v>9</v>
      </c>
      <c r="P26" s="1">
        <v>9</v>
      </c>
      <c r="Q26" s="1">
        <v>9</v>
      </c>
      <c r="R26" s="1">
        <v>9</v>
      </c>
    </row>
    <row r="27" spans="1:18" ht="14.1" customHeight="1" x14ac:dyDescent="0.2">
      <c r="A27">
        <v>10</v>
      </c>
      <c r="B27" s="28">
        <v>0</v>
      </c>
      <c r="C27" s="28">
        <v>9.765625E-4</v>
      </c>
      <c r="D27" s="28">
        <v>6.25E-2</v>
      </c>
      <c r="E27" s="28">
        <v>0.3125</v>
      </c>
      <c r="F27" s="28">
        <v>0.75</v>
      </c>
      <c r="G27" s="28">
        <v>1.25</v>
      </c>
      <c r="H27" s="28">
        <v>2</v>
      </c>
      <c r="I27" s="28">
        <v>2.75</v>
      </c>
      <c r="J27">
        <v>10</v>
      </c>
      <c r="K27" s="1">
        <v>10</v>
      </c>
      <c r="L27" s="1">
        <v>10</v>
      </c>
      <c r="M27" s="1">
        <v>10</v>
      </c>
      <c r="N27" s="1">
        <v>10</v>
      </c>
      <c r="O27" s="1">
        <v>10</v>
      </c>
      <c r="P27" s="1">
        <v>10</v>
      </c>
      <c r="Q27" s="1">
        <v>10</v>
      </c>
      <c r="R27" s="1">
        <v>10</v>
      </c>
    </row>
    <row r="28" spans="1:18" ht="14.1" customHeight="1" x14ac:dyDescent="0.2">
      <c r="A28">
        <v>11</v>
      </c>
      <c r="B28" s="28">
        <v>0</v>
      </c>
      <c r="C28" s="28">
        <v>4.8828125E-4</v>
      </c>
      <c r="D28" s="28">
        <v>4.6875E-2</v>
      </c>
      <c r="E28" s="28">
        <v>0.25</v>
      </c>
      <c r="F28" s="28">
        <v>0.625</v>
      </c>
      <c r="G28" s="28">
        <v>1.125</v>
      </c>
      <c r="H28" s="28">
        <v>1.75</v>
      </c>
      <c r="I28" s="28">
        <v>2.5</v>
      </c>
      <c r="J28">
        <v>11</v>
      </c>
      <c r="K28" s="1">
        <v>11</v>
      </c>
      <c r="L28" s="1">
        <v>11</v>
      </c>
      <c r="M28" s="1">
        <v>11</v>
      </c>
      <c r="N28" s="1">
        <v>11</v>
      </c>
      <c r="O28" s="1">
        <v>11</v>
      </c>
      <c r="P28" s="1">
        <v>11</v>
      </c>
      <c r="Q28" s="1">
        <v>11</v>
      </c>
      <c r="R28" s="1">
        <v>11</v>
      </c>
    </row>
    <row r="29" spans="1:18" ht="14.1" customHeight="1" x14ac:dyDescent="0.2">
      <c r="A29">
        <v>12</v>
      </c>
      <c r="B29" s="28">
        <v>0</v>
      </c>
      <c r="C29" s="28">
        <v>2.44140625E-4</v>
      </c>
      <c r="D29" s="28">
        <v>3.125E-2</v>
      </c>
      <c r="E29" s="28">
        <v>0.1875</v>
      </c>
      <c r="F29" s="28">
        <v>0.5</v>
      </c>
      <c r="G29" s="28">
        <v>1</v>
      </c>
      <c r="H29" s="28">
        <v>1.5</v>
      </c>
      <c r="I29" s="28">
        <v>2.25</v>
      </c>
      <c r="J29">
        <v>12</v>
      </c>
      <c r="K29" s="1">
        <v>12</v>
      </c>
      <c r="L29" s="1">
        <v>12</v>
      </c>
      <c r="M29" s="1">
        <v>12</v>
      </c>
      <c r="N29" s="1">
        <v>12</v>
      </c>
      <c r="O29" s="1">
        <v>12</v>
      </c>
      <c r="P29" s="1">
        <v>12</v>
      </c>
      <c r="Q29" s="1">
        <v>12</v>
      </c>
      <c r="R29" s="1">
        <v>12</v>
      </c>
    </row>
    <row r="30" spans="1:18" ht="14.1" customHeight="1" x14ac:dyDescent="0.2">
      <c r="C30" s="3">
        <v>0.3</v>
      </c>
      <c r="D30" t="s">
        <v>46</v>
      </c>
    </row>
    <row r="31" spans="1:18" ht="14.1" customHeight="1" x14ac:dyDescent="0.2">
      <c r="A31" t="s">
        <v>0</v>
      </c>
      <c r="B31">
        <v>0</v>
      </c>
      <c r="C31">
        <v>1</v>
      </c>
      <c r="D31">
        <v>2</v>
      </c>
      <c r="E31">
        <v>3</v>
      </c>
      <c r="F31">
        <v>4</v>
      </c>
      <c r="G31">
        <v>5</v>
      </c>
      <c r="H31">
        <v>6</v>
      </c>
      <c r="I31">
        <v>7</v>
      </c>
      <c r="J31" t="s">
        <v>0</v>
      </c>
      <c r="K31">
        <v>0</v>
      </c>
      <c r="L31">
        <v>1</v>
      </c>
      <c r="M31">
        <v>2</v>
      </c>
      <c r="N31">
        <v>3</v>
      </c>
      <c r="O31">
        <v>4</v>
      </c>
      <c r="P31">
        <v>5</v>
      </c>
      <c r="Q31">
        <v>6</v>
      </c>
      <c r="R31">
        <v>7</v>
      </c>
    </row>
    <row r="32" spans="1:18" ht="14.1" customHeight="1" x14ac:dyDescent="0.2">
      <c r="A32">
        <v>0</v>
      </c>
      <c r="B32" s="28">
        <v>0</v>
      </c>
      <c r="C32" s="28">
        <v>1</v>
      </c>
      <c r="D32" s="28">
        <v>2</v>
      </c>
      <c r="E32" s="28">
        <v>3</v>
      </c>
      <c r="F32" s="28">
        <v>4</v>
      </c>
      <c r="G32" s="28">
        <v>5</v>
      </c>
      <c r="H32" s="28">
        <v>6</v>
      </c>
      <c r="I32" s="28">
        <v>7</v>
      </c>
      <c r="J32">
        <v>0</v>
      </c>
      <c r="K32" s="1">
        <v>0</v>
      </c>
      <c r="L32" s="1">
        <v>0</v>
      </c>
      <c r="M32" s="1">
        <v>0</v>
      </c>
      <c r="N32" s="1">
        <v>0</v>
      </c>
      <c r="O32" s="1">
        <v>0</v>
      </c>
      <c r="P32" s="1">
        <v>0</v>
      </c>
      <c r="Q32" s="1">
        <v>0</v>
      </c>
      <c r="R32" s="1">
        <v>0</v>
      </c>
    </row>
    <row r="33" spans="1:18" ht="14.1" customHeight="1" x14ac:dyDescent="0.2">
      <c r="A33">
        <v>1</v>
      </c>
      <c r="B33" s="28">
        <v>0</v>
      </c>
      <c r="C33" s="28">
        <v>0.5</v>
      </c>
      <c r="D33" s="28">
        <v>1.5</v>
      </c>
      <c r="E33" s="28">
        <v>2.5</v>
      </c>
      <c r="F33" s="28">
        <v>3.5</v>
      </c>
      <c r="G33" s="28">
        <v>4.5</v>
      </c>
      <c r="H33" s="28">
        <v>5.5</v>
      </c>
      <c r="I33" s="28">
        <v>6.5</v>
      </c>
      <c r="J33">
        <v>1</v>
      </c>
      <c r="K33" s="1">
        <v>1</v>
      </c>
      <c r="L33" s="1">
        <v>0</v>
      </c>
      <c r="M33" s="1">
        <v>0</v>
      </c>
      <c r="N33" s="1">
        <v>0</v>
      </c>
      <c r="O33" s="1">
        <v>0</v>
      </c>
      <c r="P33" s="1">
        <v>0</v>
      </c>
      <c r="Q33" s="1">
        <v>0</v>
      </c>
      <c r="R33" s="1">
        <v>0</v>
      </c>
    </row>
    <row r="34" spans="1:18" ht="14.1" customHeight="1" x14ac:dyDescent="0.2">
      <c r="A34">
        <v>2</v>
      </c>
      <c r="B34" s="28">
        <v>0</v>
      </c>
      <c r="C34" s="28">
        <v>0.25</v>
      </c>
      <c r="D34" s="28">
        <v>1</v>
      </c>
      <c r="E34" s="28">
        <v>2</v>
      </c>
      <c r="F34" s="28">
        <v>3</v>
      </c>
      <c r="G34" s="28">
        <v>4</v>
      </c>
      <c r="H34" s="28">
        <v>5</v>
      </c>
      <c r="I34" s="28">
        <v>6</v>
      </c>
      <c r="J34">
        <v>2</v>
      </c>
      <c r="K34" s="1">
        <v>2</v>
      </c>
      <c r="L34" s="1">
        <v>0</v>
      </c>
      <c r="M34" s="1">
        <v>0</v>
      </c>
      <c r="N34" s="1">
        <v>0</v>
      </c>
      <c r="O34" s="1">
        <v>0</v>
      </c>
      <c r="P34" s="1">
        <v>0</v>
      </c>
      <c r="Q34" s="1">
        <v>0</v>
      </c>
      <c r="R34" s="1">
        <v>0</v>
      </c>
    </row>
    <row r="35" spans="1:18" ht="14.1" customHeight="1" x14ac:dyDescent="0.2">
      <c r="A35">
        <v>3</v>
      </c>
      <c r="B35" s="28">
        <v>0</v>
      </c>
      <c r="C35" s="28">
        <v>0.125</v>
      </c>
      <c r="D35" s="28">
        <v>0.75</v>
      </c>
      <c r="E35" s="28">
        <v>1.5</v>
      </c>
      <c r="F35" s="28">
        <v>2.5</v>
      </c>
      <c r="G35" s="28">
        <v>3.5</v>
      </c>
      <c r="H35" s="28">
        <v>4.5</v>
      </c>
      <c r="I35" s="28">
        <v>5.5</v>
      </c>
      <c r="J35">
        <v>3</v>
      </c>
      <c r="K35" s="1">
        <v>3</v>
      </c>
      <c r="L35" s="1">
        <v>0</v>
      </c>
      <c r="M35" s="1">
        <v>0</v>
      </c>
      <c r="N35" s="1">
        <v>0</v>
      </c>
      <c r="O35" s="1">
        <v>0</v>
      </c>
      <c r="P35" s="1">
        <v>0</v>
      </c>
      <c r="Q35" s="1">
        <v>0</v>
      </c>
      <c r="R35" s="1">
        <v>0</v>
      </c>
    </row>
    <row r="36" spans="1:18" ht="14.1" customHeight="1" x14ac:dyDescent="0.2">
      <c r="A36">
        <v>4</v>
      </c>
      <c r="B36" s="28">
        <v>0</v>
      </c>
      <c r="C36" s="28">
        <v>6.25E-2</v>
      </c>
      <c r="D36" s="28">
        <v>0.5</v>
      </c>
      <c r="E36" s="28">
        <v>1.25</v>
      </c>
      <c r="F36" s="28">
        <v>2</v>
      </c>
      <c r="G36" s="28">
        <v>3</v>
      </c>
      <c r="H36" s="28">
        <v>4</v>
      </c>
      <c r="I36" s="28">
        <v>5</v>
      </c>
      <c r="J36">
        <v>4</v>
      </c>
      <c r="K36" s="1">
        <v>4</v>
      </c>
      <c r="L36" s="1">
        <v>0</v>
      </c>
      <c r="M36" s="1">
        <v>0</v>
      </c>
      <c r="N36" s="1">
        <v>0</v>
      </c>
      <c r="O36" s="1">
        <v>0</v>
      </c>
      <c r="P36" s="1">
        <v>0</v>
      </c>
      <c r="Q36" s="1">
        <v>0</v>
      </c>
      <c r="R36" s="1">
        <v>0</v>
      </c>
    </row>
    <row r="37" spans="1:18" ht="14.1" customHeight="1" x14ac:dyDescent="0.2">
      <c r="A37">
        <v>5</v>
      </c>
      <c r="B37" s="28">
        <v>0</v>
      </c>
      <c r="C37" s="28">
        <v>3.125E-2</v>
      </c>
      <c r="D37" s="28">
        <v>0.36875000000000002</v>
      </c>
      <c r="E37" s="28">
        <v>1</v>
      </c>
      <c r="F37" s="28">
        <v>1.75</v>
      </c>
      <c r="G37" s="28">
        <v>2.5</v>
      </c>
      <c r="H37" s="28">
        <v>3.5</v>
      </c>
      <c r="I37" s="28">
        <v>4.5</v>
      </c>
      <c r="J37">
        <v>5</v>
      </c>
      <c r="K37" s="1">
        <v>5</v>
      </c>
      <c r="L37" s="1">
        <v>0</v>
      </c>
      <c r="M37" s="1">
        <v>1</v>
      </c>
      <c r="N37" s="1">
        <v>0</v>
      </c>
      <c r="O37" s="1">
        <v>0</v>
      </c>
      <c r="P37" s="1">
        <v>0</v>
      </c>
      <c r="Q37" s="1">
        <v>0</v>
      </c>
      <c r="R37" s="1">
        <v>0</v>
      </c>
    </row>
    <row r="38" spans="1:18" ht="14.1" customHeight="1" x14ac:dyDescent="0.2">
      <c r="A38">
        <v>6</v>
      </c>
      <c r="B38" s="28">
        <v>0</v>
      </c>
      <c r="C38" s="28">
        <v>1.5625E-2</v>
      </c>
      <c r="D38" s="28">
        <v>0.25</v>
      </c>
      <c r="E38" s="28">
        <v>0.75</v>
      </c>
      <c r="F38" s="28">
        <v>1.5</v>
      </c>
      <c r="G38" s="28">
        <v>2.25</v>
      </c>
      <c r="H38" s="28">
        <v>3</v>
      </c>
      <c r="I38" s="28">
        <v>4</v>
      </c>
      <c r="J38">
        <v>6</v>
      </c>
      <c r="K38" s="1">
        <v>6</v>
      </c>
      <c r="L38" s="1">
        <v>0</v>
      </c>
      <c r="M38" s="1">
        <v>0</v>
      </c>
      <c r="N38" s="1">
        <v>0</v>
      </c>
      <c r="O38" s="1">
        <v>0</v>
      </c>
      <c r="P38" s="1">
        <v>0</v>
      </c>
      <c r="Q38" s="1">
        <v>0</v>
      </c>
      <c r="R38" s="1">
        <v>0</v>
      </c>
    </row>
    <row r="39" spans="1:18" ht="14.1" customHeight="1" x14ac:dyDescent="0.2">
      <c r="A39">
        <v>7</v>
      </c>
      <c r="B39" s="28">
        <v>0</v>
      </c>
      <c r="C39" s="28">
        <v>7.8125E-3</v>
      </c>
      <c r="D39" s="28">
        <v>0.1796875</v>
      </c>
      <c r="E39" s="28">
        <v>0.6</v>
      </c>
      <c r="F39" s="28">
        <v>1.25</v>
      </c>
      <c r="G39" s="28">
        <v>2</v>
      </c>
      <c r="H39" s="28">
        <v>2.75</v>
      </c>
      <c r="I39" s="28">
        <v>3.5</v>
      </c>
      <c r="J39">
        <v>7</v>
      </c>
      <c r="K39" s="1">
        <v>7</v>
      </c>
      <c r="L39" s="1">
        <v>0</v>
      </c>
      <c r="M39" s="1">
        <v>1</v>
      </c>
      <c r="N39" s="1">
        <v>1</v>
      </c>
      <c r="O39" s="1">
        <v>0</v>
      </c>
      <c r="P39" s="1">
        <v>0</v>
      </c>
      <c r="Q39" s="1">
        <v>0</v>
      </c>
      <c r="R39" s="1">
        <v>0</v>
      </c>
    </row>
    <row r="40" spans="1:18" ht="14.1" customHeight="1" x14ac:dyDescent="0.2">
      <c r="A40">
        <v>8</v>
      </c>
      <c r="B40" s="28">
        <v>0</v>
      </c>
      <c r="C40" s="28">
        <v>3.90625E-3</v>
      </c>
      <c r="D40" s="28">
        <v>0.125</v>
      </c>
      <c r="E40" s="28">
        <v>0.47390624999999997</v>
      </c>
      <c r="F40" s="28">
        <v>1</v>
      </c>
      <c r="G40" s="28">
        <v>1.75</v>
      </c>
      <c r="H40" s="28">
        <v>2.5</v>
      </c>
      <c r="I40" s="28">
        <v>3.25</v>
      </c>
      <c r="J40">
        <v>8</v>
      </c>
      <c r="K40" s="1">
        <v>8</v>
      </c>
      <c r="L40" s="1">
        <v>0</v>
      </c>
      <c r="M40" s="1">
        <v>0</v>
      </c>
      <c r="N40" s="1">
        <v>2</v>
      </c>
      <c r="O40" s="1">
        <v>0</v>
      </c>
      <c r="P40" s="1">
        <v>0</v>
      </c>
      <c r="Q40" s="1">
        <v>0</v>
      </c>
      <c r="R40" s="1">
        <v>0</v>
      </c>
    </row>
    <row r="41" spans="1:18" ht="14.1" customHeight="1" x14ac:dyDescent="0.2">
      <c r="A41">
        <v>9</v>
      </c>
      <c r="B41" s="28">
        <v>0</v>
      </c>
      <c r="C41" s="28">
        <v>1.953125E-3</v>
      </c>
      <c r="D41" s="28">
        <v>8.8671874999999997E-2</v>
      </c>
      <c r="E41" s="28">
        <v>0.37045312499999994</v>
      </c>
      <c r="F41" s="28">
        <v>0.85</v>
      </c>
      <c r="G41" s="28">
        <v>1.5</v>
      </c>
      <c r="H41" s="28">
        <v>2.25</v>
      </c>
      <c r="I41" s="28">
        <v>3</v>
      </c>
      <c r="J41">
        <v>9</v>
      </c>
      <c r="K41" s="1">
        <v>9</v>
      </c>
      <c r="L41" s="1">
        <v>0</v>
      </c>
      <c r="M41" s="1">
        <v>1</v>
      </c>
      <c r="N41" s="1">
        <v>3</v>
      </c>
      <c r="O41" s="1">
        <v>1</v>
      </c>
      <c r="P41" s="1">
        <v>0</v>
      </c>
      <c r="Q41" s="1">
        <v>0</v>
      </c>
      <c r="R41" s="1">
        <v>0</v>
      </c>
    </row>
    <row r="42" spans="1:18" ht="14.1" customHeight="1" x14ac:dyDescent="0.2">
      <c r="A42">
        <v>10</v>
      </c>
      <c r="B42" s="28">
        <v>0</v>
      </c>
      <c r="C42" s="28">
        <v>9.765625E-4</v>
      </c>
      <c r="D42" s="28">
        <v>6.25E-2</v>
      </c>
      <c r="E42" s="28">
        <v>0.29062500000000002</v>
      </c>
      <c r="F42" s="28">
        <v>0.71125000000000005</v>
      </c>
      <c r="G42" s="28">
        <v>1.25</v>
      </c>
      <c r="H42" s="28">
        <v>2</v>
      </c>
      <c r="I42" s="28">
        <v>2.75</v>
      </c>
      <c r="J42">
        <v>10</v>
      </c>
      <c r="K42" s="1">
        <v>10</v>
      </c>
      <c r="L42" s="1">
        <v>0</v>
      </c>
      <c r="M42" s="1">
        <v>0</v>
      </c>
      <c r="N42" s="1">
        <v>1</v>
      </c>
      <c r="O42" s="1">
        <v>2</v>
      </c>
      <c r="P42" s="1">
        <v>0</v>
      </c>
      <c r="Q42" s="1">
        <v>0</v>
      </c>
      <c r="R42" s="1">
        <v>0</v>
      </c>
    </row>
    <row r="43" spans="1:18" ht="14.1" customHeight="1" x14ac:dyDescent="0.2">
      <c r="A43">
        <v>11</v>
      </c>
      <c r="B43" s="28">
        <v>0</v>
      </c>
      <c r="C43" s="28">
        <v>4.8828125E-4</v>
      </c>
      <c r="D43" s="28">
        <v>4.4042968750000001E-2</v>
      </c>
      <c r="E43" s="28">
        <v>0.22330078125</v>
      </c>
      <c r="F43" s="28">
        <v>0.58723046874999996</v>
      </c>
      <c r="G43" s="28">
        <v>1.1000000000000001</v>
      </c>
      <c r="H43" s="28">
        <v>1.75</v>
      </c>
      <c r="I43" s="28">
        <v>2.5</v>
      </c>
      <c r="J43">
        <v>11</v>
      </c>
      <c r="K43" s="1">
        <v>11</v>
      </c>
      <c r="L43" s="1">
        <v>0</v>
      </c>
      <c r="M43" s="1">
        <v>1</v>
      </c>
      <c r="N43" s="1">
        <v>2</v>
      </c>
      <c r="O43" s="1">
        <v>3</v>
      </c>
      <c r="P43" s="1">
        <v>1</v>
      </c>
      <c r="Q43" s="1">
        <v>0</v>
      </c>
      <c r="R43" s="1">
        <v>0</v>
      </c>
    </row>
    <row r="44" spans="1:18" ht="14.1" customHeight="1" x14ac:dyDescent="0.2">
      <c r="A44">
        <v>12</v>
      </c>
      <c r="B44" s="28">
        <v>0</v>
      </c>
      <c r="C44" s="28">
        <v>2.44140625E-4</v>
      </c>
      <c r="D44" s="28">
        <v>3.1035156250000001E-2</v>
      </c>
      <c r="E44" s="28">
        <v>0.17033789062499996</v>
      </c>
      <c r="F44" s="28">
        <v>0.47927031249999991</v>
      </c>
      <c r="G44" s="28">
        <v>0.95562499999999995</v>
      </c>
      <c r="H44" s="28">
        <v>1.5</v>
      </c>
      <c r="I44" s="28">
        <v>2.25</v>
      </c>
      <c r="J44">
        <v>12</v>
      </c>
      <c r="K44" s="1">
        <v>12</v>
      </c>
      <c r="L44" s="1">
        <v>0</v>
      </c>
      <c r="M44" s="1">
        <v>2</v>
      </c>
      <c r="N44" s="1">
        <v>3</v>
      </c>
      <c r="O44" s="1">
        <v>4</v>
      </c>
      <c r="P44" s="1">
        <v>2</v>
      </c>
      <c r="Q44" s="1">
        <v>0</v>
      </c>
      <c r="R44" s="1">
        <v>0</v>
      </c>
    </row>
    <row r="45" spans="1:18" ht="14.1" customHeight="1" x14ac:dyDescent="0.2">
      <c r="C45" s="3">
        <v>0.3</v>
      </c>
      <c r="D45" t="s">
        <v>47</v>
      </c>
    </row>
    <row r="46" spans="1:18" ht="14.1" customHeight="1" x14ac:dyDescent="0.2">
      <c r="A46" t="s">
        <v>0</v>
      </c>
      <c r="B46" s="2">
        <v>0</v>
      </c>
      <c r="C46" s="2">
        <v>1</v>
      </c>
      <c r="D46" s="2">
        <v>2</v>
      </c>
      <c r="E46" s="2">
        <v>3</v>
      </c>
      <c r="F46" s="2">
        <v>4</v>
      </c>
      <c r="G46" s="2">
        <v>5</v>
      </c>
      <c r="H46" s="2">
        <v>6</v>
      </c>
      <c r="I46" s="2">
        <v>7</v>
      </c>
      <c r="J46" t="s">
        <v>0</v>
      </c>
      <c r="K46">
        <v>0</v>
      </c>
      <c r="L46">
        <v>1</v>
      </c>
      <c r="M46">
        <v>2</v>
      </c>
      <c r="N46">
        <v>3</v>
      </c>
      <c r="O46">
        <v>4</v>
      </c>
      <c r="P46">
        <v>5</v>
      </c>
      <c r="Q46">
        <v>6</v>
      </c>
      <c r="R46">
        <v>7</v>
      </c>
    </row>
    <row r="47" spans="1:18" ht="14.1" customHeight="1" x14ac:dyDescent="0.2">
      <c r="A47">
        <v>0</v>
      </c>
      <c r="B47" s="28">
        <v>0</v>
      </c>
      <c r="C47" s="28">
        <v>1</v>
      </c>
      <c r="D47" s="28">
        <v>2</v>
      </c>
      <c r="E47" s="28">
        <v>3</v>
      </c>
      <c r="F47" s="28">
        <v>4</v>
      </c>
      <c r="G47" s="28">
        <v>5</v>
      </c>
      <c r="H47" s="28">
        <v>6</v>
      </c>
      <c r="I47" s="28">
        <v>7</v>
      </c>
      <c r="J47">
        <v>0</v>
      </c>
      <c r="K47" s="1">
        <v>0</v>
      </c>
      <c r="L47" s="1">
        <v>0</v>
      </c>
      <c r="M47" s="1">
        <v>0</v>
      </c>
      <c r="N47" s="1">
        <v>0</v>
      </c>
      <c r="O47" s="1">
        <v>0</v>
      </c>
      <c r="P47" s="1">
        <v>0</v>
      </c>
      <c r="Q47" s="1">
        <v>0</v>
      </c>
      <c r="R47" s="1">
        <v>0</v>
      </c>
    </row>
    <row r="48" spans="1:18" ht="14.1" customHeight="1" x14ac:dyDescent="0.2">
      <c r="A48">
        <v>1</v>
      </c>
      <c r="B48" s="28">
        <v>0</v>
      </c>
      <c r="C48" s="28">
        <v>0.5</v>
      </c>
      <c r="D48" s="28">
        <v>1.5</v>
      </c>
      <c r="E48" s="28">
        <v>2.5</v>
      </c>
      <c r="F48" s="28">
        <v>3.5</v>
      </c>
      <c r="G48" s="28">
        <v>4.5</v>
      </c>
      <c r="H48" s="28">
        <v>5.5</v>
      </c>
      <c r="I48" s="28">
        <v>6.5</v>
      </c>
      <c r="J48">
        <v>1</v>
      </c>
      <c r="K48" s="1">
        <v>1</v>
      </c>
      <c r="L48" s="1">
        <v>0</v>
      </c>
      <c r="M48" s="1">
        <v>0</v>
      </c>
      <c r="N48" s="1">
        <v>0</v>
      </c>
      <c r="O48" s="1">
        <v>0</v>
      </c>
      <c r="P48" s="1">
        <v>0</v>
      </c>
      <c r="Q48" s="1">
        <v>0</v>
      </c>
      <c r="R48" s="1">
        <v>0</v>
      </c>
    </row>
    <row r="49" spans="1:18" ht="14.1" customHeight="1" x14ac:dyDescent="0.2">
      <c r="A49">
        <v>2</v>
      </c>
      <c r="B49" s="28">
        <v>0</v>
      </c>
      <c r="C49" s="28">
        <v>0.25</v>
      </c>
      <c r="D49" s="28">
        <v>1</v>
      </c>
      <c r="E49" s="28">
        <v>2</v>
      </c>
      <c r="F49" s="28">
        <v>3</v>
      </c>
      <c r="G49" s="28">
        <v>4</v>
      </c>
      <c r="H49" s="28">
        <v>5</v>
      </c>
      <c r="I49" s="28">
        <v>6</v>
      </c>
      <c r="J49">
        <v>2</v>
      </c>
      <c r="K49" s="1">
        <v>2</v>
      </c>
      <c r="L49" s="1">
        <v>0</v>
      </c>
      <c r="M49" s="1">
        <v>0</v>
      </c>
      <c r="N49" s="1">
        <v>0</v>
      </c>
      <c r="O49" s="1">
        <v>0</v>
      </c>
      <c r="P49" s="1">
        <v>0</v>
      </c>
      <c r="Q49" s="1">
        <v>0</v>
      </c>
      <c r="R49" s="1">
        <v>0</v>
      </c>
    </row>
    <row r="50" spans="1:18" ht="14.1" customHeight="1" x14ac:dyDescent="0.2">
      <c r="A50">
        <v>3</v>
      </c>
      <c r="B50" s="28">
        <v>0</v>
      </c>
      <c r="C50" s="28">
        <v>0.125</v>
      </c>
      <c r="D50" s="28">
        <v>0.75</v>
      </c>
      <c r="E50" s="28">
        <v>1.5</v>
      </c>
      <c r="F50" s="28">
        <v>2.5</v>
      </c>
      <c r="G50" s="28">
        <v>3.5</v>
      </c>
      <c r="H50" s="28">
        <v>4.5</v>
      </c>
      <c r="I50" s="28">
        <v>5.5</v>
      </c>
      <c r="J50">
        <v>3</v>
      </c>
      <c r="K50" s="1">
        <v>3</v>
      </c>
      <c r="L50" s="1">
        <v>0</v>
      </c>
      <c r="M50" s="1">
        <v>0</v>
      </c>
      <c r="N50" s="1">
        <v>0</v>
      </c>
      <c r="O50" s="1">
        <v>0</v>
      </c>
      <c r="P50" s="1">
        <v>0</v>
      </c>
      <c r="Q50" s="1">
        <v>0</v>
      </c>
      <c r="R50" s="1">
        <v>0</v>
      </c>
    </row>
    <row r="51" spans="1:18" ht="14.1" customHeight="1" x14ac:dyDescent="0.2">
      <c r="A51">
        <v>4</v>
      </c>
      <c r="B51" s="28">
        <v>0</v>
      </c>
      <c r="C51" s="28">
        <v>6.25E-2</v>
      </c>
      <c r="D51" s="28">
        <v>0.5</v>
      </c>
      <c r="E51" s="28">
        <v>1.25</v>
      </c>
      <c r="F51" s="28">
        <v>2</v>
      </c>
      <c r="G51" s="28">
        <v>3</v>
      </c>
      <c r="H51" s="28">
        <v>4</v>
      </c>
      <c r="I51" s="28">
        <v>5</v>
      </c>
      <c r="J51">
        <v>4</v>
      </c>
      <c r="K51" s="1">
        <v>4</v>
      </c>
      <c r="L51" s="1">
        <v>0</v>
      </c>
      <c r="M51" s="1">
        <v>0</v>
      </c>
      <c r="N51" s="1">
        <v>0</v>
      </c>
      <c r="O51" s="1">
        <v>0</v>
      </c>
      <c r="P51" s="1">
        <v>0</v>
      </c>
      <c r="Q51" s="1">
        <v>0</v>
      </c>
      <c r="R51" s="1">
        <v>0</v>
      </c>
    </row>
    <row r="52" spans="1:18" ht="14.1" customHeight="1" x14ac:dyDescent="0.2">
      <c r="A52">
        <v>5</v>
      </c>
      <c r="B52" s="28">
        <v>0</v>
      </c>
      <c r="C52" s="28">
        <v>3.125E-2</v>
      </c>
      <c r="D52" s="28">
        <v>0.36875000000000002</v>
      </c>
      <c r="E52" s="28">
        <v>1</v>
      </c>
      <c r="F52" s="28">
        <v>1.75</v>
      </c>
      <c r="G52" s="28">
        <v>2.5</v>
      </c>
      <c r="H52" s="28">
        <v>3.5</v>
      </c>
      <c r="I52" s="28">
        <v>4.5</v>
      </c>
      <c r="J52">
        <v>5</v>
      </c>
      <c r="K52" s="1">
        <v>5</v>
      </c>
      <c r="L52" s="1">
        <v>0</v>
      </c>
      <c r="M52" s="1">
        <v>1</v>
      </c>
      <c r="N52" s="1">
        <v>0</v>
      </c>
      <c r="O52" s="1">
        <v>0</v>
      </c>
      <c r="P52" s="1">
        <v>0</v>
      </c>
      <c r="Q52" s="1">
        <v>0</v>
      </c>
      <c r="R52" s="1">
        <v>0</v>
      </c>
    </row>
    <row r="53" spans="1:18" ht="14.1" customHeight="1" x14ac:dyDescent="0.2">
      <c r="A53">
        <v>6</v>
      </c>
      <c r="B53" s="28">
        <v>0</v>
      </c>
      <c r="C53" s="28">
        <v>1.5625E-2</v>
      </c>
      <c r="D53" s="28">
        <v>0.25</v>
      </c>
      <c r="E53" s="28">
        <v>0.75</v>
      </c>
      <c r="F53" s="28">
        <v>1.5</v>
      </c>
      <c r="G53" s="28">
        <v>2.25</v>
      </c>
      <c r="H53" s="28">
        <v>3</v>
      </c>
      <c r="I53" s="28">
        <v>4</v>
      </c>
      <c r="J53">
        <v>6</v>
      </c>
      <c r="K53" s="1">
        <v>6</v>
      </c>
      <c r="L53" s="1">
        <v>0</v>
      </c>
      <c r="M53" s="1">
        <v>0</v>
      </c>
      <c r="N53" s="1">
        <v>0</v>
      </c>
      <c r="O53" s="1">
        <v>0</v>
      </c>
      <c r="P53" s="1">
        <v>0</v>
      </c>
      <c r="Q53" s="1">
        <v>0</v>
      </c>
      <c r="R53" s="1">
        <v>0</v>
      </c>
    </row>
    <row r="54" spans="1:18" ht="14.1" customHeight="1" x14ac:dyDescent="0.2">
      <c r="A54">
        <v>7</v>
      </c>
      <c r="B54" s="28">
        <v>0</v>
      </c>
      <c r="C54" s="28">
        <v>7.8125E-3</v>
      </c>
      <c r="D54" s="28">
        <v>0.1796875</v>
      </c>
      <c r="E54" s="28">
        <v>0.6</v>
      </c>
      <c r="F54" s="28">
        <v>1.25</v>
      </c>
      <c r="G54" s="28">
        <v>2</v>
      </c>
      <c r="H54" s="28">
        <v>2.75</v>
      </c>
      <c r="I54" s="28">
        <v>3.5</v>
      </c>
      <c r="J54">
        <v>7</v>
      </c>
      <c r="K54" s="1">
        <v>7</v>
      </c>
      <c r="L54" s="1">
        <v>0</v>
      </c>
      <c r="M54" s="1">
        <v>1</v>
      </c>
      <c r="N54" s="1">
        <v>1</v>
      </c>
      <c r="O54" s="1">
        <v>0</v>
      </c>
      <c r="P54" s="1">
        <v>0</v>
      </c>
      <c r="Q54" s="1">
        <v>0</v>
      </c>
      <c r="R54" s="1">
        <v>0</v>
      </c>
    </row>
    <row r="55" spans="1:18" ht="14.1" customHeight="1" x14ac:dyDescent="0.2">
      <c r="A55">
        <v>8</v>
      </c>
      <c r="B55" s="28">
        <v>0</v>
      </c>
      <c r="C55" s="28">
        <v>3.90625E-3</v>
      </c>
      <c r="D55" s="28">
        <v>0.125</v>
      </c>
      <c r="E55" s="28">
        <v>0.47390624999999997</v>
      </c>
      <c r="F55" s="28">
        <v>1</v>
      </c>
      <c r="G55" s="28">
        <v>1.75</v>
      </c>
      <c r="H55" s="28">
        <v>2.5</v>
      </c>
      <c r="I55" s="28">
        <v>3.25</v>
      </c>
      <c r="J55">
        <v>8</v>
      </c>
      <c r="K55" s="1">
        <v>8</v>
      </c>
      <c r="L55" s="1">
        <v>0</v>
      </c>
      <c r="M55" s="1">
        <v>0</v>
      </c>
      <c r="N55" s="1">
        <v>2</v>
      </c>
      <c r="O55" s="1">
        <v>0</v>
      </c>
      <c r="P55" s="1">
        <v>0</v>
      </c>
      <c r="Q55" s="1">
        <v>0</v>
      </c>
      <c r="R55" s="1">
        <v>0</v>
      </c>
    </row>
    <row r="56" spans="1:18" ht="14.1" customHeight="1" x14ac:dyDescent="0.2">
      <c r="A56">
        <v>9</v>
      </c>
      <c r="B56" s="28">
        <v>0</v>
      </c>
      <c r="C56" s="28">
        <v>1.953125E-3</v>
      </c>
      <c r="D56" s="28">
        <v>8.8671874999999997E-2</v>
      </c>
      <c r="E56" s="28">
        <v>0.36923437499999995</v>
      </c>
      <c r="F56" s="28">
        <v>0.84217187500000001</v>
      </c>
      <c r="G56" s="28">
        <v>1.5</v>
      </c>
      <c r="H56" s="28">
        <v>2.25</v>
      </c>
      <c r="I56" s="28">
        <v>3</v>
      </c>
      <c r="J56">
        <v>9</v>
      </c>
      <c r="K56" s="1">
        <v>9</v>
      </c>
      <c r="L56" s="1">
        <v>0</v>
      </c>
      <c r="M56" s="1">
        <v>1</v>
      </c>
      <c r="N56" s="1">
        <v>1</v>
      </c>
      <c r="O56" s="1">
        <v>1</v>
      </c>
      <c r="P56" s="1">
        <v>0</v>
      </c>
      <c r="Q56" s="1">
        <v>0</v>
      </c>
      <c r="R56" s="1">
        <v>0</v>
      </c>
    </row>
    <row r="57" spans="1:18" ht="14.1" customHeight="1" x14ac:dyDescent="0.2">
      <c r="A57">
        <v>10</v>
      </c>
      <c r="B57" s="28">
        <v>0</v>
      </c>
      <c r="C57" s="28">
        <v>9.765625E-4</v>
      </c>
      <c r="D57" s="28">
        <v>6.25E-2</v>
      </c>
      <c r="E57" s="28">
        <v>0.28506562499999993</v>
      </c>
      <c r="F57" s="28">
        <v>0.70029062499999994</v>
      </c>
      <c r="G57" s="28">
        <v>1.25</v>
      </c>
      <c r="H57" s="28">
        <v>2</v>
      </c>
      <c r="I57" s="28">
        <v>2.75</v>
      </c>
      <c r="J57">
        <v>10</v>
      </c>
      <c r="K57" s="1">
        <v>10</v>
      </c>
      <c r="L57" s="1">
        <v>0</v>
      </c>
      <c r="M57" s="1">
        <v>0</v>
      </c>
      <c r="N57" s="1">
        <v>2</v>
      </c>
      <c r="O57" s="1">
        <v>2</v>
      </c>
      <c r="P57" s="1">
        <v>0</v>
      </c>
      <c r="Q57" s="1">
        <v>0</v>
      </c>
      <c r="R57" s="1">
        <v>0</v>
      </c>
    </row>
    <row r="58" spans="1:18" ht="14.1" customHeight="1" x14ac:dyDescent="0.2">
      <c r="A58">
        <v>11</v>
      </c>
      <c r="B58" s="28">
        <v>0</v>
      </c>
      <c r="C58" s="28">
        <v>4.8828125E-4</v>
      </c>
      <c r="D58" s="28">
        <v>4.4042968750000001E-2</v>
      </c>
      <c r="E58" s="28">
        <v>0.21841312499999996</v>
      </c>
      <c r="F58" s="28">
        <v>0.57572312499999989</v>
      </c>
      <c r="G58" s="28">
        <v>1.0883750000000001</v>
      </c>
      <c r="H58" s="28">
        <v>1.75</v>
      </c>
      <c r="I58" s="28">
        <v>2.5</v>
      </c>
      <c r="J58">
        <v>11</v>
      </c>
      <c r="K58" s="1">
        <v>11</v>
      </c>
      <c r="L58" s="1">
        <v>0</v>
      </c>
      <c r="M58" s="1">
        <v>1</v>
      </c>
      <c r="N58" s="1">
        <v>3</v>
      </c>
      <c r="O58" s="1">
        <v>3</v>
      </c>
      <c r="P58" s="1">
        <v>1</v>
      </c>
      <c r="Q58" s="1">
        <v>0</v>
      </c>
      <c r="R58" s="1">
        <v>0</v>
      </c>
    </row>
    <row r="59" spans="1:18" ht="14.1" customHeight="1" x14ac:dyDescent="0.2">
      <c r="A59">
        <v>12</v>
      </c>
      <c r="B59" s="28">
        <v>0</v>
      </c>
      <c r="C59" s="28">
        <v>2.44140625E-4</v>
      </c>
      <c r="D59" s="28">
        <v>3.0976562499999999E-2</v>
      </c>
      <c r="E59" s="28">
        <v>0.16653885937499996</v>
      </c>
      <c r="F59" s="28">
        <v>0.46853012499999991</v>
      </c>
      <c r="G59" s="28">
        <v>0.93738124999999994</v>
      </c>
      <c r="H59" s="28">
        <v>1.5</v>
      </c>
      <c r="I59" s="28">
        <v>2.25</v>
      </c>
      <c r="J59">
        <v>12</v>
      </c>
      <c r="K59" s="1">
        <v>12</v>
      </c>
      <c r="L59" s="1">
        <v>0</v>
      </c>
      <c r="M59" s="1">
        <v>1</v>
      </c>
      <c r="N59" s="1">
        <v>3</v>
      </c>
      <c r="O59" s="1">
        <v>4</v>
      </c>
      <c r="P59" s="1">
        <v>2</v>
      </c>
      <c r="Q59" s="1">
        <v>0</v>
      </c>
      <c r="R59" s="1">
        <v>0</v>
      </c>
    </row>
  </sheetData>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23553" r:id="rId3" name="CommandButton1">
          <controlPr defaultSize="0" autoLine="0" r:id="rId4">
            <anchor moveWithCells="1">
              <from>
                <xdr:col>12</xdr:col>
                <xdr:colOff>200025</xdr:colOff>
                <xdr:row>11</xdr:row>
                <xdr:rowOff>133350</xdr:rowOff>
              </from>
              <to>
                <xdr:col>15</xdr:col>
                <xdr:colOff>47625</xdr:colOff>
                <xdr:row>13</xdr:row>
                <xdr:rowOff>66675</xdr:rowOff>
              </to>
            </anchor>
          </controlPr>
        </control>
      </mc:Choice>
      <mc:Fallback>
        <control shapeId="23553" r:id="rId3" name="CommandButton1"/>
      </mc:Fallback>
    </mc:AlternateContent>
    <mc:AlternateContent xmlns:mc="http://schemas.openxmlformats.org/markup-compatibility/2006">
      <mc:Choice Requires="x14">
        <control shapeId="23554" r:id="rId5" name="CommandButton2">
          <controlPr defaultSize="0" autoLine="0" r:id="rId6">
            <anchor moveWithCells="1">
              <from>
                <xdr:col>12</xdr:col>
                <xdr:colOff>171450</xdr:colOff>
                <xdr:row>2</xdr:row>
                <xdr:rowOff>95250</xdr:rowOff>
              </from>
              <to>
                <xdr:col>15</xdr:col>
                <xdr:colOff>19050</xdr:colOff>
                <xdr:row>4</xdr:row>
                <xdr:rowOff>19050</xdr:rowOff>
              </to>
            </anchor>
          </controlPr>
        </control>
      </mc:Choice>
      <mc:Fallback>
        <control shapeId="23554" r:id="rId5"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1"/>
  <sheetViews>
    <sheetView workbookViewId="0">
      <selection activeCell="E2" sqref="E2"/>
    </sheetView>
  </sheetViews>
  <sheetFormatPr defaultRowHeight="12.75" x14ac:dyDescent="0.2"/>
  <cols>
    <col min="1" max="1" width="5.1640625" customWidth="1"/>
    <col min="2" max="2" width="11" customWidth="1"/>
    <col min="3" max="3" width="13.83203125" customWidth="1"/>
    <col min="4" max="4" width="9.83203125" customWidth="1"/>
    <col min="5" max="5" width="5" customWidth="1"/>
    <col min="12" max="12" width="5" customWidth="1"/>
  </cols>
  <sheetData>
    <row r="1" spans="1:14" x14ac:dyDescent="0.2">
      <c r="A1" t="s">
        <v>34</v>
      </c>
      <c r="B1" t="s">
        <v>43</v>
      </c>
      <c r="C1" t="s">
        <v>40</v>
      </c>
      <c r="D1" t="s">
        <v>41</v>
      </c>
      <c r="E1" t="s">
        <v>38</v>
      </c>
      <c r="G1" t="s">
        <v>35</v>
      </c>
      <c r="H1" s="3">
        <v>1</v>
      </c>
      <c r="J1" t="s">
        <v>39</v>
      </c>
      <c r="K1" t="s">
        <v>42</v>
      </c>
      <c r="L1" t="s">
        <v>38</v>
      </c>
      <c r="N1" t="s">
        <v>44</v>
      </c>
    </row>
    <row r="2" spans="1:14" x14ac:dyDescent="0.2">
      <c r="A2">
        <v>1</v>
      </c>
      <c r="B2">
        <v>0</v>
      </c>
      <c r="C2">
        <f t="shared" ref="C2:C11" ca="1" si="0">NORMINV(RAND(),0,$H$1)</f>
        <v>-0.81938010941599626</v>
      </c>
      <c r="D2">
        <f ca="1">$H$4+B2+C2</f>
        <v>-7.156744413189835</v>
      </c>
      <c r="E2">
        <f t="shared" ref="E2:E11" ca="1" si="1">IF(ABS(D2)&lt;$H$3,1,0)</f>
        <v>0</v>
      </c>
      <c r="G2" t="s">
        <v>36</v>
      </c>
      <c r="H2" s="3">
        <v>10</v>
      </c>
      <c r="J2">
        <v>0</v>
      </c>
      <c r="K2">
        <f ca="1">$H$4+C2+J2</f>
        <v>-7.156744413189835</v>
      </c>
      <c r="L2">
        <f t="shared" ref="L2:L11" ca="1" si="2">IF(ABS(K2)&lt;$H$3,1,0)</f>
        <v>0</v>
      </c>
      <c r="N2">
        <f t="shared" ref="N2:N11" ca="1" si="3">E2-L2</f>
        <v>0</v>
      </c>
    </row>
    <row r="3" spans="1:14" x14ac:dyDescent="0.2">
      <c r="A3">
        <v>2</v>
      </c>
      <c r="B3">
        <f ca="1">B2-D2/A2</f>
        <v>7.156744413189835</v>
      </c>
      <c r="C3">
        <f t="shared" ca="1" si="0"/>
        <v>0.36850537968280822</v>
      </c>
      <c r="D3">
        <f t="shared" ref="D3:D11" ca="1" si="4">$H$4+B3+C3</f>
        <v>1.1878854890988042</v>
      </c>
      <c r="E3">
        <f t="shared" ca="1" si="1"/>
        <v>0</v>
      </c>
      <c r="G3" t="s">
        <v>37</v>
      </c>
      <c r="H3" s="3">
        <v>1</v>
      </c>
      <c r="J3">
        <v>0</v>
      </c>
      <c r="K3">
        <f t="shared" ref="K3:K11" ca="1" si="5">$H$4+C3+J3</f>
        <v>-5.9688589240910304</v>
      </c>
      <c r="L3">
        <f t="shared" ca="1" si="2"/>
        <v>0</v>
      </c>
      <c r="N3">
        <f t="shared" ca="1" si="3"/>
        <v>0</v>
      </c>
    </row>
    <row r="4" spans="1:14" x14ac:dyDescent="0.2">
      <c r="A4">
        <v>3</v>
      </c>
      <c r="B4">
        <f t="shared" ref="B4:B11" ca="1" si="6">B3-D3/A3</f>
        <v>6.5628016686404331</v>
      </c>
      <c r="C4">
        <f t="shared" ca="1" si="0"/>
        <v>0.41467768678044792</v>
      </c>
      <c r="D4">
        <f t="shared" ca="1" si="4"/>
        <v>0.64011505164704208</v>
      </c>
      <c r="E4">
        <f t="shared" ca="1" si="1"/>
        <v>1</v>
      </c>
      <c r="G4" t="s">
        <v>54</v>
      </c>
      <c r="H4">
        <f ca="1">NORMINV(RAND(),0,$H$2)</f>
        <v>-6.337364303773839</v>
      </c>
      <c r="J4">
        <v>0</v>
      </c>
      <c r="K4">
        <f t="shared" ca="1" si="5"/>
        <v>-5.9226866169933912</v>
      </c>
      <c r="L4">
        <f t="shared" ca="1" si="2"/>
        <v>0</v>
      </c>
      <c r="N4">
        <f t="shared" ca="1" si="3"/>
        <v>1</v>
      </c>
    </row>
    <row r="5" spans="1:14" x14ac:dyDescent="0.2">
      <c r="A5">
        <v>4</v>
      </c>
      <c r="B5">
        <f t="shared" ca="1" si="6"/>
        <v>6.3494299847580855</v>
      </c>
      <c r="C5">
        <f t="shared" ca="1" si="0"/>
        <v>3.9271868995409437E-2</v>
      </c>
      <c r="D5">
        <f t="shared" ca="1" si="4"/>
        <v>5.1337549979655978E-2</v>
      </c>
      <c r="E5">
        <f t="shared" ca="1" si="1"/>
        <v>1</v>
      </c>
      <c r="J5">
        <f ca="1">-AVERAGE($K$2:$K$4)</f>
        <v>6.3494299847580855</v>
      </c>
      <c r="K5">
        <f t="shared" ca="1" si="5"/>
        <v>5.1337549979655783E-2</v>
      </c>
      <c r="L5">
        <f t="shared" ca="1" si="2"/>
        <v>1</v>
      </c>
      <c r="N5">
        <f t="shared" ca="1" si="3"/>
        <v>0</v>
      </c>
    </row>
    <row r="6" spans="1:14" x14ac:dyDescent="0.2">
      <c r="A6">
        <v>5</v>
      </c>
      <c r="B6">
        <f t="shared" ca="1" si="6"/>
        <v>6.3365955972631713</v>
      </c>
      <c r="C6">
        <f t="shared" ca="1" si="0"/>
        <v>0.13734801707684274</v>
      </c>
      <c r="D6">
        <f t="shared" ca="1" si="4"/>
        <v>0.13657931056617512</v>
      </c>
      <c r="E6">
        <f t="shared" ca="1" si="1"/>
        <v>1</v>
      </c>
      <c r="J6">
        <f t="shared" ref="J6:J11" ca="1" si="7">J5</f>
        <v>6.3494299847580855</v>
      </c>
      <c r="K6">
        <f t="shared" ca="1" si="5"/>
        <v>0.14941369806108895</v>
      </c>
      <c r="L6">
        <f t="shared" ca="1" si="2"/>
        <v>1</v>
      </c>
      <c r="N6">
        <f t="shared" ca="1" si="3"/>
        <v>0</v>
      </c>
    </row>
    <row r="7" spans="1:14" x14ac:dyDescent="0.2">
      <c r="A7">
        <v>6</v>
      </c>
      <c r="B7">
        <f t="shared" ca="1" si="6"/>
        <v>6.3092797351499366</v>
      </c>
      <c r="C7">
        <f t="shared" ca="1" si="0"/>
        <v>-1.0200196008828031</v>
      </c>
      <c r="D7">
        <f t="shared" ca="1" si="4"/>
        <v>-1.0481041695067055</v>
      </c>
      <c r="E7">
        <f t="shared" ca="1" si="1"/>
        <v>0</v>
      </c>
      <c r="J7">
        <f t="shared" ca="1" si="7"/>
        <v>6.3494299847580855</v>
      </c>
      <c r="K7">
        <f t="shared" ca="1" si="5"/>
        <v>-1.0079539198985561</v>
      </c>
      <c r="L7">
        <f t="shared" ca="1" si="2"/>
        <v>0</v>
      </c>
      <c r="N7">
        <f t="shared" ca="1" si="3"/>
        <v>0</v>
      </c>
    </row>
    <row r="8" spans="1:14" x14ac:dyDescent="0.2">
      <c r="A8">
        <v>7</v>
      </c>
      <c r="B8">
        <f t="shared" ca="1" si="6"/>
        <v>6.4839637634010545</v>
      </c>
      <c r="C8">
        <f t="shared" ca="1" si="0"/>
        <v>-0.23359644810361091</v>
      </c>
      <c r="D8">
        <f t="shared" ca="1" si="4"/>
        <v>-8.6996988476395365E-2</v>
      </c>
      <c r="E8">
        <f t="shared" ca="1" si="1"/>
        <v>1</v>
      </c>
      <c r="J8">
        <f t="shared" ca="1" si="7"/>
        <v>6.3494299847580855</v>
      </c>
      <c r="K8">
        <f t="shared" ca="1" si="5"/>
        <v>-0.22153076711936404</v>
      </c>
      <c r="L8">
        <f t="shared" ca="1" si="2"/>
        <v>1</v>
      </c>
      <c r="N8">
        <f t="shared" ca="1" si="3"/>
        <v>0</v>
      </c>
    </row>
    <row r="9" spans="1:14" x14ac:dyDescent="0.2">
      <c r="A9">
        <v>8</v>
      </c>
      <c r="B9">
        <f t="shared" ca="1" si="6"/>
        <v>6.4963919046119685</v>
      </c>
      <c r="C9">
        <f t="shared" ca="1" si="0"/>
        <v>2.2343970627893035</v>
      </c>
      <c r="D9">
        <f t="shared" ca="1" si="4"/>
        <v>2.393424663627433</v>
      </c>
      <c r="E9">
        <f t="shared" ca="1" si="1"/>
        <v>0</v>
      </c>
      <c r="J9">
        <f t="shared" ca="1" si="7"/>
        <v>6.3494299847580855</v>
      </c>
      <c r="K9">
        <f t="shared" ca="1" si="5"/>
        <v>2.2464627437735505</v>
      </c>
      <c r="L9">
        <f t="shared" ca="1" si="2"/>
        <v>0</v>
      </c>
      <c r="N9">
        <f t="shared" ca="1" si="3"/>
        <v>0</v>
      </c>
    </row>
    <row r="10" spans="1:14" x14ac:dyDescent="0.2">
      <c r="A10">
        <v>9</v>
      </c>
      <c r="B10">
        <f t="shared" ca="1" si="6"/>
        <v>6.1972138216585391</v>
      </c>
      <c r="C10">
        <f t="shared" ca="1" si="0"/>
        <v>-0.55329501021622118</v>
      </c>
      <c r="D10">
        <f t="shared" ca="1" si="4"/>
        <v>-0.69344549233152109</v>
      </c>
      <c r="E10">
        <f t="shared" ca="1" si="1"/>
        <v>1</v>
      </c>
      <c r="J10">
        <f t="shared" ca="1" si="7"/>
        <v>6.3494299847580855</v>
      </c>
      <c r="K10">
        <f t="shared" ca="1" si="5"/>
        <v>-0.54122932923197453</v>
      </c>
      <c r="L10">
        <f t="shared" ca="1" si="2"/>
        <v>1</v>
      </c>
      <c r="N10">
        <f t="shared" ca="1" si="3"/>
        <v>0</v>
      </c>
    </row>
    <row r="11" spans="1:14" x14ac:dyDescent="0.2">
      <c r="A11">
        <v>10</v>
      </c>
      <c r="B11">
        <f t="shared" ca="1" si="6"/>
        <v>6.2742633208064857</v>
      </c>
      <c r="C11">
        <f t="shared" ca="1" si="0"/>
        <v>0.55115258990748783</v>
      </c>
      <c r="D11">
        <f t="shared" ca="1" si="4"/>
        <v>0.48805160694013461</v>
      </c>
      <c r="E11">
        <f t="shared" ca="1" si="1"/>
        <v>1</v>
      </c>
      <c r="J11">
        <f t="shared" ca="1" si="7"/>
        <v>6.3494299847580855</v>
      </c>
      <c r="K11">
        <f t="shared" ca="1" si="5"/>
        <v>0.56321827089173482</v>
      </c>
      <c r="L11">
        <f t="shared" ca="1" si="2"/>
        <v>1</v>
      </c>
      <c r="N11" s="2">
        <f t="shared" ca="1" si="3"/>
        <v>0</v>
      </c>
    </row>
  </sheetData>
  <phoneticPr fontId="4" type="noConversion"/>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9"/>
  <sheetViews>
    <sheetView workbookViewId="0">
      <selection activeCell="H15" sqref="H15"/>
    </sheetView>
  </sheetViews>
  <sheetFormatPr defaultColWidth="8.83203125" defaultRowHeight="12.75" x14ac:dyDescent="0.2"/>
  <cols>
    <col min="1" max="16384" width="8.83203125" style="29"/>
  </cols>
  <sheetData>
    <row r="1" spans="1:11" x14ac:dyDescent="0.2">
      <c r="A1" s="60">
        <v>1</v>
      </c>
      <c r="B1" s="58">
        <v>0.9</v>
      </c>
      <c r="C1" s="58"/>
      <c r="D1" s="58"/>
      <c r="J1" s="30">
        <v>1</v>
      </c>
      <c r="K1" s="29" t="s">
        <v>14</v>
      </c>
    </row>
    <row r="2" spans="1:11" x14ac:dyDescent="0.2">
      <c r="A2" s="59">
        <v>0.9</v>
      </c>
      <c r="B2" s="58">
        <v>0</v>
      </c>
      <c r="C2" s="58"/>
      <c r="D2" s="58"/>
      <c r="J2" s="30">
        <v>1.81</v>
      </c>
      <c r="K2" s="29" t="s">
        <v>15</v>
      </c>
    </row>
    <row r="3" spans="1:11" x14ac:dyDescent="0.2">
      <c r="A3" s="59">
        <v>1</v>
      </c>
      <c r="B3" s="58">
        <v>1</v>
      </c>
      <c r="C3" s="58"/>
      <c r="D3" s="58"/>
      <c r="J3" s="30">
        <v>1.81</v>
      </c>
      <c r="K3" s="29" t="s">
        <v>16</v>
      </c>
    </row>
    <row r="4" spans="1:11" x14ac:dyDescent="0.2">
      <c r="A4" s="59"/>
      <c r="B4" s="58"/>
      <c r="C4" s="58"/>
      <c r="D4" s="58"/>
    </row>
    <row r="5" spans="1:11" x14ac:dyDescent="0.2">
      <c r="A5" s="59"/>
      <c r="B5" s="58"/>
      <c r="C5" s="58"/>
      <c r="D5" s="58"/>
    </row>
    <row r="6" spans="1:11" x14ac:dyDescent="0.2">
      <c r="A6" s="59"/>
      <c r="B6" s="59"/>
      <c r="C6" s="59"/>
      <c r="D6" s="59"/>
    </row>
    <row r="7" spans="1:11" x14ac:dyDescent="0.2">
      <c r="A7" s="59"/>
      <c r="B7" s="59"/>
      <c r="C7" s="59"/>
      <c r="D7" s="59"/>
    </row>
    <row r="8" spans="1:11" x14ac:dyDescent="0.2">
      <c r="A8" s="59"/>
      <c r="B8" s="59"/>
      <c r="C8" s="59"/>
      <c r="D8" s="59"/>
    </row>
    <row r="9" spans="1:11" x14ac:dyDescent="0.2">
      <c r="A9" s="59"/>
      <c r="B9" s="59"/>
      <c r="C9" s="59"/>
      <c r="D9" s="59"/>
    </row>
  </sheetData>
  <dataConsolidate/>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9217" r:id="rId4" name="CommandButton1">
          <controlPr defaultSize="0" autoLine="0" r:id="rId5">
            <anchor moveWithCells="1">
              <from>
                <xdr:col>11</xdr:col>
                <xdr:colOff>266700</xdr:colOff>
                <xdr:row>1</xdr:row>
                <xdr:rowOff>152400</xdr:rowOff>
              </from>
              <to>
                <xdr:col>14</xdr:col>
                <xdr:colOff>0</xdr:colOff>
                <xdr:row>3</xdr:row>
                <xdr:rowOff>133350</xdr:rowOff>
              </to>
            </anchor>
          </controlPr>
        </control>
      </mc:Choice>
      <mc:Fallback>
        <control shapeId="9217" r:id="rId4" name="CommandButton1"/>
      </mc:Fallback>
    </mc:AlternateContent>
    <mc:AlternateContent xmlns:mc="http://schemas.openxmlformats.org/markup-compatibility/2006">
      <mc:Choice Requires="x14">
        <control shapeId="9219" r:id="rId6" name="CommandButton2">
          <controlPr autoLine="0" r:id="rId7">
            <anchor moveWithCells="1">
              <from>
                <xdr:col>11</xdr:col>
                <xdr:colOff>247650</xdr:colOff>
                <xdr:row>0</xdr:row>
                <xdr:rowOff>9525</xdr:rowOff>
              </from>
              <to>
                <xdr:col>15</xdr:col>
                <xdr:colOff>209550</xdr:colOff>
                <xdr:row>1</xdr:row>
                <xdr:rowOff>152400</xdr:rowOff>
              </to>
            </anchor>
          </controlPr>
        </control>
      </mc:Choice>
      <mc:Fallback>
        <control shapeId="9219" r:id="rId6" name="CommandButton2"/>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8"/>
  <sheetViews>
    <sheetView workbookViewId="0">
      <selection activeCell="D8" sqref="D8"/>
    </sheetView>
  </sheetViews>
  <sheetFormatPr defaultColWidth="8.83203125" defaultRowHeight="12.75" x14ac:dyDescent="0.2"/>
  <cols>
    <col min="1" max="16384" width="8.83203125" style="29"/>
  </cols>
  <sheetData>
    <row r="1" spans="1:4" x14ac:dyDescent="0.2">
      <c r="A1" s="29">
        <v>1</v>
      </c>
      <c r="B1" s="29">
        <v>0.9</v>
      </c>
    </row>
    <row r="2" spans="1:4" x14ac:dyDescent="0.2">
      <c r="A2" s="29">
        <v>0.9</v>
      </c>
      <c r="B2" s="29">
        <v>0</v>
      </c>
    </row>
    <row r="4" spans="1:4" x14ac:dyDescent="0.2">
      <c r="A4" s="29">
        <v>0.10000000000000009</v>
      </c>
      <c r="B4" s="29">
        <v>0.89999999999999991</v>
      </c>
      <c r="D4" s="29">
        <f>SUM(A4:B4)</f>
        <v>1</v>
      </c>
    </row>
    <row r="5" spans="1:4" x14ac:dyDescent="0.2">
      <c r="A5" s="29">
        <v>1</v>
      </c>
      <c r="B5" s="29">
        <v>0</v>
      </c>
      <c r="D5" s="29">
        <f>SUM(A5:B5)</f>
        <v>1</v>
      </c>
    </row>
    <row r="7" spans="1:4" x14ac:dyDescent="0.2">
      <c r="A7" s="29">
        <v>1</v>
      </c>
      <c r="B7" s="29">
        <v>1</v>
      </c>
    </row>
    <row r="8" spans="1:4" x14ac:dyDescent="0.2">
      <c r="A8" s="29">
        <f>SUMPRODUCT(A4:A5,A1:A2)</f>
        <v>1</v>
      </c>
      <c r="B8" s="29">
        <f>SUMPRODUCT(B4:B5,B1:B2)</f>
        <v>0.80999999999999994</v>
      </c>
      <c r="D8" s="29">
        <f>SUMPRODUCT(VLP,YLP)</f>
        <v>1.81</v>
      </c>
    </row>
  </sheetData>
  <phoneticPr fontId="1" type="noConversion"/>
  <pageMargins left="0.75" right="0.75" top="1" bottom="1" header="0.5" footer="0.5"/>
  <headerFooter alignWithMargins="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SE59"/>
  <sheetViews>
    <sheetView workbookViewId="0">
      <selection activeCell="W19" sqref="W19"/>
    </sheetView>
  </sheetViews>
  <sheetFormatPr defaultColWidth="8.83203125" defaultRowHeight="14.1" customHeight="1" x14ac:dyDescent="0.2"/>
  <cols>
    <col min="1" max="1" width="4.83203125" style="31" customWidth="1"/>
    <col min="2" max="9" width="6.83203125" style="31" customWidth="1"/>
    <col min="10" max="18" width="4.83203125" style="31" customWidth="1"/>
    <col min="19" max="16384" width="8.83203125" style="31"/>
  </cols>
  <sheetData>
    <row r="1" spans="1:18 14695:14695" ht="14.1" customHeight="1" x14ac:dyDescent="0.2">
      <c r="A1" s="31" t="s">
        <v>0</v>
      </c>
      <c r="B1" s="31">
        <v>0</v>
      </c>
      <c r="C1" s="31">
        <v>1</v>
      </c>
      <c r="D1" s="31">
        <v>2</v>
      </c>
      <c r="E1" s="31">
        <v>3</v>
      </c>
      <c r="F1" s="31">
        <v>4</v>
      </c>
      <c r="G1" s="31">
        <v>5</v>
      </c>
      <c r="H1" s="31">
        <v>6</v>
      </c>
      <c r="I1" s="31">
        <v>7</v>
      </c>
    </row>
    <row r="2" spans="1:18 14695:14695" ht="14.1" customHeight="1" x14ac:dyDescent="0.2">
      <c r="A2" s="31">
        <v>0</v>
      </c>
      <c r="B2" s="32">
        <f t="shared" ref="B2:I14" si="0">(1-$R$2)^B$1</f>
        <v>1</v>
      </c>
      <c r="C2" s="32">
        <f t="shared" si="0"/>
        <v>0.5</v>
      </c>
      <c r="D2" s="32">
        <f t="shared" si="0"/>
        <v>0.25</v>
      </c>
      <c r="E2" s="32">
        <f t="shared" si="0"/>
        <v>0.125</v>
      </c>
      <c r="F2" s="32">
        <f t="shared" si="0"/>
        <v>6.25E-2</v>
      </c>
      <c r="G2" s="32">
        <f t="shared" si="0"/>
        <v>3.125E-2</v>
      </c>
      <c r="H2" s="32">
        <f t="shared" si="0"/>
        <v>1.5625E-2</v>
      </c>
      <c r="I2" s="32">
        <f t="shared" si="0"/>
        <v>7.8125E-3</v>
      </c>
      <c r="K2" s="33" t="s">
        <v>22</v>
      </c>
      <c r="L2" s="33"/>
      <c r="M2" s="33"/>
      <c r="N2" s="33"/>
      <c r="O2" s="33"/>
      <c r="P2" s="33"/>
      <c r="Q2" s="33"/>
      <c r="R2" s="34">
        <v>0.5</v>
      </c>
      <c r="USE2" s="31">
        <v>0</v>
      </c>
    </row>
    <row r="3" spans="1:18 14695:14695" ht="14.1" customHeight="1" x14ac:dyDescent="0.2">
      <c r="A3" s="31">
        <v>1</v>
      </c>
      <c r="B3" s="32">
        <f t="shared" si="0"/>
        <v>1</v>
      </c>
      <c r="C3" s="32">
        <f t="shared" si="0"/>
        <v>0.5</v>
      </c>
      <c r="D3" s="32">
        <f t="shared" si="0"/>
        <v>0.25</v>
      </c>
      <c r="E3" s="32">
        <f t="shared" si="0"/>
        <v>0.125</v>
      </c>
      <c r="F3" s="32">
        <f t="shared" si="0"/>
        <v>6.25E-2</v>
      </c>
      <c r="G3" s="32">
        <f t="shared" si="0"/>
        <v>3.125E-2</v>
      </c>
      <c r="H3" s="32">
        <f t="shared" si="0"/>
        <v>1.5625E-2</v>
      </c>
      <c r="I3" s="32">
        <f t="shared" si="0"/>
        <v>7.8125E-3</v>
      </c>
      <c r="USE3" s="31">
        <v>0</v>
      </c>
    </row>
    <row r="4" spans="1:18 14695:14695" ht="14.1" customHeight="1" x14ac:dyDescent="0.2">
      <c r="A4" s="31">
        <v>2</v>
      </c>
      <c r="B4" s="32">
        <f t="shared" si="0"/>
        <v>1</v>
      </c>
      <c r="C4" s="32">
        <f t="shared" si="0"/>
        <v>0.5</v>
      </c>
      <c r="D4" s="32">
        <f t="shared" si="0"/>
        <v>0.25</v>
      </c>
      <c r="E4" s="32">
        <f t="shared" si="0"/>
        <v>0.125</v>
      </c>
      <c r="F4" s="32">
        <f t="shared" si="0"/>
        <v>6.25E-2</v>
      </c>
      <c r="G4" s="32">
        <f t="shared" si="0"/>
        <v>3.125E-2</v>
      </c>
      <c r="H4" s="32">
        <f t="shared" si="0"/>
        <v>1.5625E-2</v>
      </c>
      <c r="I4" s="32">
        <f t="shared" si="0"/>
        <v>7.8125E-3</v>
      </c>
      <c r="USE4" s="31">
        <v>0</v>
      </c>
    </row>
    <row r="5" spans="1:18 14695:14695" ht="14.1" customHeight="1" thickBot="1" x14ac:dyDescent="0.25">
      <c r="A5" s="31">
        <v>3</v>
      </c>
      <c r="B5" s="32">
        <f t="shared" si="0"/>
        <v>1</v>
      </c>
      <c r="C5" s="32">
        <f t="shared" si="0"/>
        <v>0.5</v>
      </c>
      <c r="D5" s="32">
        <f t="shared" si="0"/>
        <v>0.25</v>
      </c>
      <c r="E5" s="32">
        <f t="shared" si="0"/>
        <v>0.125</v>
      </c>
      <c r="F5" s="32">
        <f t="shared" si="0"/>
        <v>6.25E-2</v>
      </c>
      <c r="G5" s="32">
        <f t="shared" si="0"/>
        <v>3.125E-2</v>
      </c>
      <c r="H5" s="32">
        <f t="shared" si="0"/>
        <v>1.5625E-2</v>
      </c>
      <c r="I5" s="32">
        <f t="shared" si="0"/>
        <v>7.8125E-3</v>
      </c>
    </row>
    <row r="6" spans="1:18 14695:14695" ht="14.1" customHeight="1" thickTop="1" x14ac:dyDescent="0.2">
      <c r="A6" s="31">
        <v>4</v>
      </c>
      <c r="B6" s="32">
        <f t="shared" si="0"/>
        <v>1</v>
      </c>
      <c r="C6" s="32">
        <f t="shared" si="0"/>
        <v>0.5</v>
      </c>
      <c r="D6" s="32">
        <f t="shared" si="0"/>
        <v>0.25</v>
      </c>
      <c r="E6" s="32">
        <f t="shared" si="0"/>
        <v>0.125</v>
      </c>
      <c r="F6" s="32">
        <f t="shared" si="0"/>
        <v>6.25E-2</v>
      </c>
      <c r="G6" s="32">
        <f t="shared" si="0"/>
        <v>3.125E-2</v>
      </c>
      <c r="H6" s="32">
        <f t="shared" si="0"/>
        <v>1.5625E-2</v>
      </c>
      <c r="I6" s="32">
        <f t="shared" si="0"/>
        <v>7.8125E-3</v>
      </c>
      <c r="K6" s="35" t="s">
        <v>23</v>
      </c>
      <c r="L6" s="36"/>
      <c r="M6" s="36"/>
      <c r="N6" s="36"/>
      <c r="O6" s="36"/>
      <c r="P6" s="36"/>
      <c r="Q6" s="36"/>
      <c r="R6" s="37"/>
    </row>
    <row r="7" spans="1:18 14695:14695" ht="14.1" customHeight="1" x14ac:dyDescent="0.2">
      <c r="A7" s="31">
        <v>5</v>
      </c>
      <c r="B7" s="32">
        <f t="shared" si="0"/>
        <v>1</v>
      </c>
      <c r="C7" s="32">
        <f t="shared" si="0"/>
        <v>0.5</v>
      </c>
      <c r="D7" s="32">
        <f t="shared" si="0"/>
        <v>0.25</v>
      </c>
      <c r="E7" s="32">
        <f t="shared" si="0"/>
        <v>0.125</v>
      </c>
      <c r="F7" s="32">
        <f t="shared" si="0"/>
        <v>6.25E-2</v>
      </c>
      <c r="G7" s="32">
        <f t="shared" si="0"/>
        <v>3.125E-2</v>
      </c>
      <c r="H7" s="32">
        <f t="shared" si="0"/>
        <v>1.5625E-2</v>
      </c>
      <c r="I7" s="32">
        <f t="shared" si="0"/>
        <v>7.8125E-3</v>
      </c>
      <c r="K7" s="38" t="s">
        <v>18</v>
      </c>
      <c r="L7" s="39"/>
      <c r="M7" s="39"/>
      <c r="N7" s="39"/>
      <c r="O7" s="39"/>
      <c r="P7" s="39"/>
      <c r="Q7" s="39"/>
      <c r="R7" s="40"/>
    </row>
    <row r="8" spans="1:18 14695:14695" ht="14.1" customHeight="1" x14ac:dyDescent="0.2">
      <c r="A8" s="31">
        <v>6</v>
      </c>
      <c r="B8" s="32">
        <f t="shared" si="0"/>
        <v>1</v>
      </c>
      <c r="C8" s="32">
        <f t="shared" si="0"/>
        <v>0.5</v>
      </c>
      <c r="D8" s="32">
        <f t="shared" si="0"/>
        <v>0.25</v>
      </c>
      <c r="E8" s="32">
        <f t="shared" si="0"/>
        <v>0.125</v>
      </c>
      <c r="F8" s="32">
        <f t="shared" si="0"/>
        <v>6.25E-2</v>
      </c>
      <c r="G8" s="32">
        <f t="shared" si="0"/>
        <v>3.125E-2</v>
      </c>
      <c r="H8" s="32">
        <f t="shared" si="0"/>
        <v>1.5625E-2</v>
      </c>
      <c r="I8" s="32">
        <f t="shared" si="0"/>
        <v>7.8125E-3</v>
      </c>
      <c r="K8" s="41" t="s">
        <v>17</v>
      </c>
      <c r="L8" s="42"/>
      <c r="M8" s="42"/>
      <c r="N8" s="42"/>
      <c r="O8" s="42"/>
      <c r="P8" s="42"/>
      <c r="Q8" s="42"/>
      <c r="R8" s="43"/>
    </row>
    <row r="9" spans="1:18 14695:14695" ht="14.1" customHeight="1" x14ac:dyDescent="0.2">
      <c r="A9" s="31">
        <v>7</v>
      </c>
      <c r="B9" s="32">
        <f t="shared" si="0"/>
        <v>1</v>
      </c>
      <c r="C9" s="32">
        <f t="shared" si="0"/>
        <v>0.5</v>
      </c>
      <c r="D9" s="32">
        <f t="shared" si="0"/>
        <v>0.25</v>
      </c>
      <c r="E9" s="32">
        <f t="shared" si="0"/>
        <v>0.125</v>
      </c>
      <c r="F9" s="32">
        <f t="shared" si="0"/>
        <v>6.25E-2</v>
      </c>
      <c r="G9" s="32">
        <f t="shared" si="0"/>
        <v>3.125E-2</v>
      </c>
      <c r="H9" s="32">
        <f t="shared" si="0"/>
        <v>1.5625E-2</v>
      </c>
      <c r="I9" s="32">
        <f t="shared" si="0"/>
        <v>7.8125E-3</v>
      </c>
      <c r="K9" s="41" t="s">
        <v>24</v>
      </c>
      <c r="L9" s="42"/>
      <c r="M9" s="42"/>
      <c r="N9" s="42"/>
      <c r="O9" s="42"/>
      <c r="P9" s="42"/>
      <c r="Q9" s="42"/>
      <c r="R9" s="43"/>
    </row>
    <row r="10" spans="1:18 14695:14695" ht="14.1" customHeight="1" x14ac:dyDescent="0.2">
      <c r="A10" s="31">
        <v>8</v>
      </c>
      <c r="B10" s="32">
        <f t="shared" si="0"/>
        <v>1</v>
      </c>
      <c r="C10" s="32">
        <f t="shared" si="0"/>
        <v>0.5</v>
      </c>
      <c r="D10" s="32">
        <f t="shared" si="0"/>
        <v>0.25</v>
      </c>
      <c r="E10" s="32">
        <f t="shared" si="0"/>
        <v>0.125</v>
      </c>
      <c r="F10" s="32">
        <f t="shared" si="0"/>
        <v>6.25E-2</v>
      </c>
      <c r="G10" s="32">
        <f t="shared" si="0"/>
        <v>3.125E-2</v>
      </c>
      <c r="H10" s="32">
        <f t="shared" si="0"/>
        <v>1.5625E-2</v>
      </c>
      <c r="I10" s="32">
        <f t="shared" si="0"/>
        <v>7.8125E-3</v>
      </c>
      <c r="K10" s="44" t="s">
        <v>13</v>
      </c>
      <c r="L10" s="45"/>
      <c r="M10" s="45"/>
      <c r="N10" s="45"/>
      <c r="O10" s="45"/>
      <c r="P10" s="45"/>
      <c r="Q10" s="45"/>
      <c r="R10" s="46"/>
    </row>
    <row r="11" spans="1:18 14695:14695" ht="14.1" customHeight="1" thickBot="1" x14ac:dyDescent="0.25">
      <c r="A11" s="31">
        <v>9</v>
      </c>
      <c r="B11" s="32">
        <f t="shared" si="0"/>
        <v>1</v>
      </c>
      <c r="C11" s="32">
        <f t="shared" si="0"/>
        <v>0.5</v>
      </c>
      <c r="D11" s="32">
        <f t="shared" si="0"/>
        <v>0.25</v>
      </c>
      <c r="E11" s="32">
        <f t="shared" si="0"/>
        <v>0.125</v>
      </c>
      <c r="F11" s="32">
        <f t="shared" si="0"/>
        <v>6.25E-2</v>
      </c>
      <c r="G11" s="32">
        <f t="shared" si="0"/>
        <v>3.125E-2</v>
      </c>
      <c r="H11" s="32">
        <f t="shared" si="0"/>
        <v>1.5625E-2</v>
      </c>
      <c r="I11" s="32">
        <f t="shared" si="0"/>
        <v>7.8125E-3</v>
      </c>
      <c r="K11" s="47" t="s">
        <v>25</v>
      </c>
      <c r="L11" s="48"/>
      <c r="M11" s="48"/>
      <c r="N11" s="48"/>
      <c r="O11" s="48"/>
      <c r="P11" s="48"/>
      <c r="Q11" s="48"/>
      <c r="R11" s="49"/>
    </row>
    <row r="12" spans="1:18 14695:14695" ht="14.1" customHeight="1" thickTop="1" x14ac:dyDescent="0.2">
      <c r="A12" s="31">
        <v>10</v>
      </c>
      <c r="B12" s="32">
        <f t="shared" si="0"/>
        <v>1</v>
      </c>
      <c r="C12" s="32">
        <f t="shared" si="0"/>
        <v>0.5</v>
      </c>
      <c r="D12" s="32">
        <f t="shared" si="0"/>
        <v>0.25</v>
      </c>
      <c r="E12" s="32">
        <f t="shared" si="0"/>
        <v>0.125</v>
      </c>
      <c r="F12" s="32">
        <f t="shared" si="0"/>
        <v>6.25E-2</v>
      </c>
      <c r="G12" s="32">
        <f t="shared" si="0"/>
        <v>3.125E-2</v>
      </c>
      <c r="H12" s="32">
        <f t="shared" si="0"/>
        <v>1.5625E-2</v>
      </c>
      <c r="I12" s="32">
        <f t="shared" si="0"/>
        <v>7.8125E-3</v>
      </c>
      <c r="K12" s="33"/>
      <c r="L12" s="33"/>
      <c r="M12" s="33"/>
      <c r="N12" s="33"/>
      <c r="O12" s="33"/>
      <c r="P12" s="33"/>
      <c r="Q12" s="33"/>
      <c r="R12" s="33"/>
    </row>
    <row r="13" spans="1:18 14695:14695" ht="14.1" customHeight="1" x14ac:dyDescent="0.2">
      <c r="A13" s="31">
        <v>11</v>
      </c>
      <c r="B13" s="32">
        <f t="shared" si="0"/>
        <v>1</v>
      </c>
      <c r="C13" s="32">
        <f t="shared" si="0"/>
        <v>0.5</v>
      </c>
      <c r="D13" s="32">
        <f t="shared" si="0"/>
        <v>0.25</v>
      </c>
      <c r="E13" s="32">
        <f t="shared" si="0"/>
        <v>0.125</v>
      </c>
      <c r="F13" s="32">
        <f t="shared" si="0"/>
        <v>6.25E-2</v>
      </c>
      <c r="G13" s="32">
        <f t="shared" si="0"/>
        <v>3.125E-2</v>
      </c>
      <c r="H13" s="32">
        <f t="shared" si="0"/>
        <v>1.5625E-2</v>
      </c>
      <c r="I13" s="32">
        <f t="shared" si="0"/>
        <v>7.8125E-3</v>
      </c>
      <c r="K13" s="33"/>
      <c r="L13" s="33"/>
      <c r="M13" s="33"/>
      <c r="N13" s="33"/>
      <c r="O13" s="33"/>
      <c r="P13" s="33"/>
      <c r="Q13" s="33"/>
      <c r="R13" s="33"/>
    </row>
    <row r="14" spans="1:18 14695:14695" ht="14.1" customHeight="1" x14ac:dyDescent="0.2">
      <c r="A14" s="31">
        <v>12</v>
      </c>
      <c r="B14" s="32">
        <f t="shared" si="0"/>
        <v>1</v>
      </c>
      <c r="C14" s="32">
        <f t="shared" si="0"/>
        <v>0.5</v>
      </c>
      <c r="D14" s="32">
        <f t="shared" si="0"/>
        <v>0.25</v>
      </c>
      <c r="E14" s="32">
        <f t="shared" si="0"/>
        <v>0.125</v>
      </c>
      <c r="F14" s="32">
        <f t="shared" si="0"/>
        <v>6.25E-2</v>
      </c>
      <c r="G14" s="32">
        <f t="shared" si="0"/>
        <v>3.125E-2</v>
      </c>
      <c r="H14" s="32">
        <f t="shared" si="0"/>
        <v>1.5625E-2</v>
      </c>
      <c r="I14" s="32">
        <f t="shared" si="0"/>
        <v>7.8125E-3</v>
      </c>
      <c r="K14" s="33"/>
      <c r="L14" s="33"/>
      <c r="M14" s="33"/>
      <c r="N14" s="33"/>
      <c r="O14" s="33"/>
      <c r="P14" s="33"/>
      <c r="Q14" s="33"/>
      <c r="R14" s="33"/>
    </row>
    <row r="15" spans="1:18 14695:14695" ht="14.1" customHeight="1" x14ac:dyDescent="0.2">
      <c r="C15" s="34">
        <v>0.5</v>
      </c>
      <c r="D15" s="31" t="s">
        <v>26</v>
      </c>
      <c r="G15" s="33"/>
    </row>
    <row r="16" spans="1:18 14695:14695" ht="14.1" customHeight="1" x14ac:dyDescent="0.2">
      <c r="A16" s="31" t="s">
        <v>0</v>
      </c>
      <c r="B16" s="31">
        <v>0</v>
      </c>
      <c r="C16" s="31">
        <v>1</v>
      </c>
      <c r="D16" s="31">
        <v>2</v>
      </c>
      <c r="E16" s="31">
        <v>3</v>
      </c>
      <c r="F16" s="31">
        <v>4</v>
      </c>
      <c r="G16" s="31">
        <v>5</v>
      </c>
      <c r="H16" s="31">
        <v>6</v>
      </c>
      <c r="I16" s="31">
        <v>7</v>
      </c>
      <c r="J16" s="31" t="s">
        <v>0</v>
      </c>
      <c r="K16" s="31">
        <v>0</v>
      </c>
      <c r="L16" s="31">
        <v>1</v>
      </c>
      <c r="M16" s="31">
        <v>2</v>
      </c>
      <c r="N16" s="31">
        <v>3</v>
      </c>
      <c r="O16" s="31">
        <v>4</v>
      </c>
      <c r="P16" s="31">
        <v>5</v>
      </c>
      <c r="Q16" s="31">
        <v>6</v>
      </c>
      <c r="R16" s="31">
        <v>7</v>
      </c>
    </row>
    <row r="17" spans="1:18" ht="14.1" customHeight="1" x14ac:dyDescent="0.2">
      <c r="A17" s="31">
        <v>0</v>
      </c>
      <c r="B17" s="32">
        <v>1</v>
      </c>
      <c r="C17" s="32">
        <v>0.5</v>
      </c>
      <c r="D17" s="32">
        <v>0.25</v>
      </c>
      <c r="E17" s="32">
        <v>0.125</v>
      </c>
      <c r="F17" s="32">
        <v>6.25E-2</v>
      </c>
      <c r="G17" s="32">
        <v>3.125E-2</v>
      </c>
      <c r="H17" s="32">
        <v>1.5625E-2</v>
      </c>
      <c r="I17" s="32">
        <v>7.8125E-3</v>
      </c>
      <c r="J17" s="31">
        <v>0</v>
      </c>
      <c r="K17" s="50">
        <v>0</v>
      </c>
      <c r="L17" s="50">
        <v>0</v>
      </c>
      <c r="M17" s="50">
        <v>0</v>
      </c>
      <c r="N17" s="50">
        <v>0</v>
      </c>
      <c r="O17" s="50">
        <v>0</v>
      </c>
      <c r="P17" s="50">
        <v>0</v>
      </c>
      <c r="Q17" s="50">
        <v>0</v>
      </c>
      <c r="R17" s="50">
        <v>0</v>
      </c>
    </row>
    <row r="18" spans="1:18" ht="14.1" customHeight="1" x14ac:dyDescent="0.2">
      <c r="A18" s="31">
        <v>1</v>
      </c>
      <c r="B18" s="32">
        <v>1</v>
      </c>
      <c r="C18" s="32">
        <v>0.75</v>
      </c>
      <c r="D18" s="32">
        <v>0.375</v>
      </c>
      <c r="E18" s="32">
        <v>0.1875</v>
      </c>
      <c r="F18" s="32">
        <v>9.375E-2</v>
      </c>
      <c r="G18" s="32">
        <v>4.6875E-2</v>
      </c>
      <c r="H18" s="32">
        <v>2.34375E-2</v>
      </c>
      <c r="I18" s="32">
        <v>1.171875E-2</v>
      </c>
      <c r="J18" s="31">
        <v>1</v>
      </c>
      <c r="K18" s="50">
        <v>1</v>
      </c>
      <c r="L18" s="50">
        <v>1</v>
      </c>
      <c r="M18" s="50">
        <v>1</v>
      </c>
      <c r="N18" s="50">
        <v>1</v>
      </c>
      <c r="O18" s="50">
        <v>1</v>
      </c>
      <c r="P18" s="50">
        <v>1</v>
      </c>
      <c r="Q18" s="50">
        <v>1</v>
      </c>
      <c r="R18" s="50">
        <v>1</v>
      </c>
    </row>
    <row r="19" spans="1:18" ht="14.1" customHeight="1" x14ac:dyDescent="0.2">
      <c r="A19" s="31">
        <v>2</v>
      </c>
      <c r="B19" s="32">
        <v>1</v>
      </c>
      <c r="C19" s="32">
        <v>0.875</v>
      </c>
      <c r="D19" s="32">
        <v>0.5625</v>
      </c>
      <c r="E19" s="32">
        <v>0.28125</v>
      </c>
      <c r="F19" s="32">
        <v>0.140625</v>
      </c>
      <c r="G19" s="32">
        <v>7.03125E-2</v>
      </c>
      <c r="H19" s="32">
        <v>3.515625E-2</v>
      </c>
      <c r="I19" s="32">
        <v>1.7578125E-2</v>
      </c>
      <c r="J19" s="31">
        <v>2</v>
      </c>
      <c r="K19" s="50">
        <v>2</v>
      </c>
      <c r="L19" s="50">
        <v>2</v>
      </c>
      <c r="M19" s="50">
        <v>2</v>
      </c>
      <c r="N19" s="50">
        <v>2</v>
      </c>
      <c r="O19" s="50">
        <v>2</v>
      </c>
      <c r="P19" s="50">
        <v>2</v>
      </c>
      <c r="Q19" s="50">
        <v>2</v>
      </c>
      <c r="R19" s="50">
        <v>2</v>
      </c>
    </row>
    <row r="20" spans="1:18" ht="14.1" customHeight="1" x14ac:dyDescent="0.2">
      <c r="A20" s="31">
        <v>3</v>
      </c>
      <c r="B20" s="32">
        <v>1</v>
      </c>
      <c r="C20" s="32">
        <v>0.9375</v>
      </c>
      <c r="D20" s="32">
        <v>0.65625</v>
      </c>
      <c r="E20" s="32">
        <v>0.421875</v>
      </c>
      <c r="F20" s="32">
        <v>0.2109375</v>
      </c>
      <c r="G20" s="32">
        <v>0.10546875</v>
      </c>
      <c r="H20" s="32">
        <v>5.2734375E-2</v>
      </c>
      <c r="I20" s="32">
        <v>2.63671875E-2</v>
      </c>
      <c r="J20" s="31">
        <v>3</v>
      </c>
      <c r="K20" s="50">
        <v>3</v>
      </c>
      <c r="L20" s="50">
        <v>3</v>
      </c>
      <c r="M20" s="50">
        <v>3</v>
      </c>
      <c r="N20" s="50">
        <v>3</v>
      </c>
      <c r="O20" s="50">
        <v>3</v>
      </c>
      <c r="P20" s="50">
        <v>3</v>
      </c>
      <c r="Q20" s="50">
        <v>3</v>
      </c>
      <c r="R20" s="50">
        <v>3</v>
      </c>
    </row>
    <row r="21" spans="1:18" ht="14.1" customHeight="1" x14ac:dyDescent="0.2">
      <c r="A21" s="31">
        <v>4</v>
      </c>
      <c r="B21" s="32">
        <v>1</v>
      </c>
      <c r="C21" s="32">
        <v>0.96875</v>
      </c>
      <c r="D21" s="32">
        <v>0.765625</v>
      </c>
      <c r="E21" s="32">
        <v>0.4921875</v>
      </c>
      <c r="F21" s="32">
        <v>0.31640625</v>
      </c>
      <c r="G21" s="32">
        <v>0.158203125</v>
      </c>
      <c r="H21" s="32">
        <v>7.91015625E-2</v>
      </c>
      <c r="I21" s="32">
        <v>3.955078125E-2</v>
      </c>
      <c r="J21" s="31">
        <v>4</v>
      </c>
      <c r="K21" s="50">
        <v>4</v>
      </c>
      <c r="L21" s="50">
        <v>4</v>
      </c>
      <c r="M21" s="50">
        <v>4</v>
      </c>
      <c r="N21" s="50">
        <v>4</v>
      </c>
      <c r="O21" s="50">
        <v>4</v>
      </c>
      <c r="P21" s="50">
        <v>4</v>
      </c>
      <c r="Q21" s="50">
        <v>4</v>
      </c>
      <c r="R21" s="50">
        <v>4</v>
      </c>
    </row>
    <row r="22" spans="1:18" ht="14.1" customHeight="1" x14ac:dyDescent="0.2">
      <c r="A22" s="31">
        <v>5</v>
      </c>
      <c r="B22" s="32">
        <v>1</v>
      </c>
      <c r="C22" s="32">
        <v>0.984375</v>
      </c>
      <c r="D22" s="32">
        <v>0.8203125</v>
      </c>
      <c r="E22" s="32">
        <v>0.57421875</v>
      </c>
      <c r="F22" s="32">
        <v>0.369140625</v>
      </c>
      <c r="G22" s="32">
        <v>0.23730468749999994</v>
      </c>
      <c r="H22" s="32">
        <v>0.11865234374999997</v>
      </c>
      <c r="I22" s="32">
        <v>5.9326171874999986E-2</v>
      </c>
      <c r="J22" s="31">
        <v>5</v>
      </c>
      <c r="K22" s="50">
        <v>5</v>
      </c>
      <c r="L22" s="50">
        <v>5</v>
      </c>
      <c r="M22" s="50">
        <v>5</v>
      </c>
      <c r="N22" s="50">
        <v>5</v>
      </c>
      <c r="O22" s="50">
        <v>5</v>
      </c>
      <c r="P22" s="50">
        <v>5</v>
      </c>
      <c r="Q22" s="50">
        <v>5</v>
      </c>
      <c r="R22" s="50">
        <v>5</v>
      </c>
    </row>
    <row r="23" spans="1:18" ht="14.1" customHeight="1" x14ac:dyDescent="0.2">
      <c r="A23" s="31">
        <v>6</v>
      </c>
      <c r="B23" s="32">
        <v>1</v>
      </c>
      <c r="C23" s="32">
        <v>0.9921875</v>
      </c>
      <c r="D23" s="32">
        <v>0.87890625</v>
      </c>
      <c r="E23" s="32">
        <v>0.66992187500000011</v>
      </c>
      <c r="F23" s="32">
        <v>0.4306640625</v>
      </c>
      <c r="G23" s="32">
        <v>0.27685546875</v>
      </c>
      <c r="H23" s="32">
        <v>0.177978515625</v>
      </c>
      <c r="I23" s="32">
        <v>8.89892578125E-2</v>
      </c>
      <c r="J23" s="31">
        <v>6</v>
      </c>
      <c r="K23" s="50">
        <v>6</v>
      </c>
      <c r="L23" s="50">
        <v>6</v>
      </c>
      <c r="M23" s="50">
        <v>6</v>
      </c>
      <c r="N23" s="50">
        <v>6</v>
      </c>
      <c r="O23" s="50">
        <v>6</v>
      </c>
      <c r="P23" s="50">
        <v>6</v>
      </c>
      <c r="Q23" s="50">
        <v>6</v>
      </c>
      <c r="R23" s="50">
        <v>6</v>
      </c>
    </row>
    <row r="24" spans="1:18" ht="14.1" customHeight="1" x14ac:dyDescent="0.2">
      <c r="A24" s="31">
        <v>7</v>
      </c>
      <c r="B24" s="32">
        <v>1</v>
      </c>
      <c r="C24" s="32">
        <v>0.99609375</v>
      </c>
      <c r="D24" s="32">
        <v>0.908203125</v>
      </c>
      <c r="E24" s="32">
        <v>0.7177734375</v>
      </c>
      <c r="F24" s="32">
        <v>0.50244140625000011</v>
      </c>
      <c r="G24" s="32">
        <v>0.322998046875</v>
      </c>
      <c r="H24" s="32">
        <v>0.20764160156249997</v>
      </c>
      <c r="I24" s="32">
        <v>0.13348388671875006</v>
      </c>
      <c r="J24" s="31">
        <v>7</v>
      </c>
      <c r="K24" s="50">
        <v>7</v>
      </c>
      <c r="L24" s="50">
        <v>7</v>
      </c>
      <c r="M24" s="50">
        <v>7</v>
      </c>
      <c r="N24" s="50">
        <v>7</v>
      </c>
      <c r="O24" s="50">
        <v>7</v>
      </c>
      <c r="P24" s="50">
        <v>7</v>
      </c>
      <c r="Q24" s="50">
        <v>7</v>
      </c>
      <c r="R24" s="50">
        <v>7</v>
      </c>
    </row>
    <row r="25" spans="1:18" ht="14.1" customHeight="1" x14ac:dyDescent="0.2">
      <c r="A25" s="31">
        <v>8</v>
      </c>
      <c r="B25" s="32">
        <v>1</v>
      </c>
      <c r="C25" s="32">
        <v>0.998046875</v>
      </c>
      <c r="D25" s="32">
        <v>0.9384765625</v>
      </c>
      <c r="E25" s="32">
        <v>0.76904296875</v>
      </c>
      <c r="F25" s="32">
        <v>0.586181640625</v>
      </c>
      <c r="G25" s="32">
        <v>0.3768310546875</v>
      </c>
      <c r="H25" s="32">
        <v>0.24224853515625</v>
      </c>
      <c r="I25" s="32">
        <v>0.155731201171875</v>
      </c>
      <c r="J25" s="31">
        <v>8</v>
      </c>
      <c r="K25" s="50">
        <v>8</v>
      </c>
      <c r="L25" s="50">
        <v>8</v>
      </c>
      <c r="M25" s="50">
        <v>8</v>
      </c>
      <c r="N25" s="50">
        <v>8</v>
      </c>
      <c r="O25" s="50">
        <v>8</v>
      </c>
      <c r="P25" s="50">
        <v>8</v>
      </c>
      <c r="Q25" s="50">
        <v>8</v>
      </c>
      <c r="R25" s="50">
        <v>8</v>
      </c>
    </row>
    <row r="26" spans="1:18" ht="14.1" customHeight="1" x14ac:dyDescent="0.2">
      <c r="A26" s="31">
        <v>9</v>
      </c>
      <c r="B26" s="32">
        <v>1</v>
      </c>
      <c r="C26" s="32">
        <v>0.9990234375</v>
      </c>
      <c r="D26" s="32">
        <v>0.95361328125</v>
      </c>
      <c r="E26" s="32">
        <v>0.823974609375</v>
      </c>
      <c r="F26" s="32">
        <v>0.62805175781250011</v>
      </c>
      <c r="G26" s="32">
        <v>0.43963623046875</v>
      </c>
      <c r="H26" s="32">
        <v>0.28262329101562506</v>
      </c>
      <c r="I26" s="32">
        <v>0.18168640136718747</v>
      </c>
      <c r="J26" s="31">
        <v>9</v>
      </c>
      <c r="K26" s="50">
        <v>9</v>
      </c>
      <c r="L26" s="50">
        <v>9</v>
      </c>
      <c r="M26" s="50">
        <v>9</v>
      </c>
      <c r="N26" s="50">
        <v>9</v>
      </c>
      <c r="O26" s="50">
        <v>9</v>
      </c>
      <c r="P26" s="50">
        <v>9</v>
      </c>
      <c r="Q26" s="50">
        <v>9</v>
      </c>
      <c r="R26" s="50">
        <v>9</v>
      </c>
    </row>
    <row r="27" spans="1:18" ht="14.1" customHeight="1" x14ac:dyDescent="0.2">
      <c r="A27" s="31">
        <v>10</v>
      </c>
      <c r="B27" s="32">
        <v>1</v>
      </c>
      <c r="C27" s="32">
        <v>0.99951171875</v>
      </c>
      <c r="D27" s="32">
        <v>0.968994140625</v>
      </c>
      <c r="E27" s="32">
        <v>0.8514404296875</v>
      </c>
      <c r="F27" s="32">
        <v>0.67291259765625</v>
      </c>
      <c r="G27" s="32">
        <v>0.512908935546875</v>
      </c>
      <c r="H27" s="32">
        <v>0.3297271728515625</v>
      </c>
      <c r="I27" s="32">
        <v>0.21196746826171875</v>
      </c>
      <c r="J27" s="31">
        <v>10</v>
      </c>
      <c r="K27" s="50">
        <v>10</v>
      </c>
      <c r="L27" s="50">
        <v>10</v>
      </c>
      <c r="M27" s="50">
        <v>10</v>
      </c>
      <c r="N27" s="50">
        <v>10</v>
      </c>
      <c r="O27" s="50">
        <v>10</v>
      </c>
      <c r="P27" s="50">
        <v>10</v>
      </c>
      <c r="Q27" s="50">
        <v>10</v>
      </c>
      <c r="R27" s="50">
        <v>10</v>
      </c>
    </row>
    <row r="28" spans="1:18" ht="14.1" customHeight="1" x14ac:dyDescent="0.2">
      <c r="A28" s="31">
        <v>11</v>
      </c>
      <c r="B28" s="32">
        <v>1</v>
      </c>
      <c r="C28" s="32">
        <v>0.999755859375</v>
      </c>
      <c r="D28" s="32">
        <v>0.9766845703125</v>
      </c>
      <c r="E28" s="32">
        <v>0.87982177734375</v>
      </c>
      <c r="F28" s="32">
        <v>0.720977783203125</v>
      </c>
      <c r="G28" s="32">
        <v>0.5495452880859375</v>
      </c>
      <c r="H28" s="32">
        <v>0.38468170166015625</v>
      </c>
      <c r="I28" s="32">
        <v>0.2472953796386719</v>
      </c>
      <c r="J28" s="31">
        <v>11</v>
      </c>
      <c r="K28" s="50">
        <v>11</v>
      </c>
      <c r="L28" s="50">
        <v>11</v>
      </c>
      <c r="M28" s="50">
        <v>11</v>
      </c>
      <c r="N28" s="50">
        <v>11</v>
      </c>
      <c r="O28" s="50">
        <v>11</v>
      </c>
      <c r="P28" s="50">
        <v>11</v>
      </c>
      <c r="Q28" s="50">
        <v>11</v>
      </c>
      <c r="R28" s="50">
        <v>11</v>
      </c>
    </row>
    <row r="29" spans="1:18" ht="14.1" customHeight="1" x14ac:dyDescent="0.2">
      <c r="A29" s="31">
        <v>12</v>
      </c>
      <c r="B29" s="32">
        <v>1</v>
      </c>
      <c r="C29" s="32">
        <v>0.9998779296875</v>
      </c>
      <c r="D29" s="32">
        <v>0.98443603515625</v>
      </c>
      <c r="E29" s="32">
        <v>0.909149169921875</v>
      </c>
      <c r="F29" s="32">
        <v>0.7724761962890625</v>
      </c>
      <c r="G29" s="32">
        <v>0.58879852294921886</v>
      </c>
      <c r="H29" s="32">
        <v>0.44879531860351563</v>
      </c>
      <c r="I29" s="32">
        <v>0.28851127624511719</v>
      </c>
      <c r="J29" s="31">
        <v>12</v>
      </c>
      <c r="K29" s="50">
        <v>12</v>
      </c>
      <c r="L29" s="50">
        <v>12</v>
      </c>
      <c r="M29" s="50">
        <v>12</v>
      </c>
      <c r="N29" s="50">
        <v>12</v>
      </c>
      <c r="O29" s="50">
        <v>12</v>
      </c>
      <c r="P29" s="50">
        <v>12</v>
      </c>
      <c r="Q29" s="50">
        <v>12</v>
      </c>
      <c r="R29" s="50">
        <v>12</v>
      </c>
    </row>
    <row r="30" spans="1:18" ht="14.1" customHeight="1" x14ac:dyDescent="0.2">
      <c r="C30" s="34">
        <v>0.5</v>
      </c>
      <c r="D30" s="31" t="s">
        <v>27</v>
      </c>
    </row>
    <row r="31" spans="1:18" ht="14.1" customHeight="1" x14ac:dyDescent="0.2">
      <c r="A31" s="31" t="s">
        <v>0</v>
      </c>
      <c r="B31" s="31">
        <v>0</v>
      </c>
      <c r="C31" s="31">
        <v>1</v>
      </c>
      <c r="D31" s="31">
        <v>2</v>
      </c>
      <c r="E31" s="31">
        <v>3</v>
      </c>
      <c r="F31" s="31">
        <v>4</v>
      </c>
      <c r="G31" s="31">
        <v>5</v>
      </c>
      <c r="H31" s="31">
        <v>6</v>
      </c>
      <c r="I31" s="31">
        <v>7</v>
      </c>
      <c r="J31" s="31" t="s">
        <v>0</v>
      </c>
      <c r="K31" s="31">
        <v>0</v>
      </c>
      <c r="L31" s="31">
        <v>1</v>
      </c>
      <c r="M31" s="31">
        <v>2</v>
      </c>
      <c r="N31" s="31">
        <v>3</v>
      </c>
      <c r="O31" s="31">
        <v>4</v>
      </c>
      <c r="P31" s="31">
        <v>5</v>
      </c>
      <c r="Q31" s="31">
        <v>6</v>
      </c>
      <c r="R31" s="31">
        <v>7</v>
      </c>
    </row>
    <row r="32" spans="1:18" ht="14.1" customHeight="1" x14ac:dyDescent="0.2">
      <c r="A32" s="31">
        <v>0</v>
      </c>
      <c r="B32" s="32">
        <v>1</v>
      </c>
      <c r="C32" s="32">
        <v>0.5</v>
      </c>
      <c r="D32" s="32">
        <v>0.25</v>
      </c>
      <c r="E32" s="32">
        <v>0.125</v>
      </c>
      <c r="F32" s="32">
        <v>6.25E-2</v>
      </c>
      <c r="G32" s="32">
        <v>3.125E-2</v>
      </c>
      <c r="H32" s="32">
        <v>1.5625E-2</v>
      </c>
      <c r="I32" s="32">
        <v>7.8125E-3</v>
      </c>
      <c r="J32" s="31">
        <v>0</v>
      </c>
      <c r="K32" s="50">
        <v>0</v>
      </c>
      <c r="L32" s="50">
        <v>0</v>
      </c>
      <c r="M32" s="50">
        <v>0</v>
      </c>
      <c r="N32" s="50">
        <v>0</v>
      </c>
      <c r="O32" s="50">
        <v>0</v>
      </c>
      <c r="P32" s="50">
        <v>0</v>
      </c>
      <c r="Q32" s="50">
        <v>0</v>
      </c>
      <c r="R32" s="50">
        <v>0</v>
      </c>
    </row>
    <row r="33" spans="1:18" ht="14.1" customHeight="1" x14ac:dyDescent="0.2">
      <c r="A33" s="31">
        <v>1</v>
      </c>
      <c r="B33" s="32">
        <v>1</v>
      </c>
      <c r="C33" s="32">
        <v>0.75</v>
      </c>
      <c r="D33" s="32">
        <v>0.375</v>
      </c>
      <c r="E33" s="32">
        <v>0.1875</v>
      </c>
      <c r="F33" s="32">
        <v>9.375E-2</v>
      </c>
      <c r="G33" s="32">
        <v>4.6875E-2</v>
      </c>
      <c r="H33" s="32">
        <v>2.34375E-2</v>
      </c>
      <c r="I33" s="32">
        <v>1.171875E-2</v>
      </c>
      <c r="J33" s="31">
        <v>1</v>
      </c>
      <c r="K33" s="50">
        <v>1</v>
      </c>
      <c r="L33" s="50">
        <v>1</v>
      </c>
      <c r="M33" s="50">
        <v>1</v>
      </c>
      <c r="N33" s="50">
        <v>1</v>
      </c>
      <c r="O33" s="50">
        <v>1</v>
      </c>
      <c r="P33" s="50">
        <v>1</v>
      </c>
      <c r="Q33" s="50">
        <v>1</v>
      </c>
      <c r="R33" s="50">
        <v>1</v>
      </c>
    </row>
    <row r="34" spans="1:18" ht="14.1" customHeight="1" x14ac:dyDescent="0.2">
      <c r="A34" s="31">
        <v>2</v>
      </c>
      <c r="B34" s="32">
        <v>1</v>
      </c>
      <c r="C34" s="32">
        <v>0.875</v>
      </c>
      <c r="D34" s="32">
        <v>0.5625</v>
      </c>
      <c r="E34" s="32">
        <v>0.28125</v>
      </c>
      <c r="F34" s="32">
        <v>0.140625</v>
      </c>
      <c r="G34" s="32">
        <v>7.03125E-2</v>
      </c>
      <c r="H34" s="32">
        <v>3.515625E-2</v>
      </c>
      <c r="I34" s="32">
        <v>1.7578125E-2</v>
      </c>
      <c r="J34" s="31">
        <v>2</v>
      </c>
      <c r="K34" s="50">
        <v>2</v>
      </c>
      <c r="L34" s="50">
        <v>2</v>
      </c>
      <c r="M34" s="50">
        <v>2</v>
      </c>
      <c r="N34" s="50">
        <v>2</v>
      </c>
      <c r="O34" s="50">
        <v>2</v>
      </c>
      <c r="P34" s="50">
        <v>2</v>
      </c>
      <c r="Q34" s="50">
        <v>2</v>
      </c>
      <c r="R34" s="50">
        <v>2</v>
      </c>
    </row>
    <row r="35" spans="1:18" ht="14.1" customHeight="1" x14ac:dyDescent="0.2">
      <c r="A35" s="31">
        <v>3</v>
      </c>
      <c r="B35" s="32">
        <v>1</v>
      </c>
      <c r="C35" s="32">
        <v>0.9375</v>
      </c>
      <c r="D35" s="32">
        <v>0.71875</v>
      </c>
      <c r="E35" s="32">
        <v>0.421875</v>
      </c>
      <c r="F35" s="32">
        <v>0.2109375</v>
      </c>
      <c r="G35" s="32">
        <v>0.10546875</v>
      </c>
      <c r="H35" s="32">
        <v>5.2734375E-2</v>
      </c>
      <c r="I35" s="32">
        <v>2.63671875E-2</v>
      </c>
      <c r="J35" s="31">
        <v>3</v>
      </c>
      <c r="K35" s="50">
        <v>3</v>
      </c>
      <c r="L35" s="50">
        <v>3</v>
      </c>
      <c r="M35" s="50">
        <v>2</v>
      </c>
      <c r="N35" s="50">
        <v>3</v>
      </c>
      <c r="O35" s="50">
        <v>3</v>
      </c>
      <c r="P35" s="50">
        <v>3</v>
      </c>
      <c r="Q35" s="50">
        <v>3</v>
      </c>
      <c r="R35" s="50">
        <v>3</v>
      </c>
    </row>
    <row r="36" spans="1:18" ht="14.1" customHeight="1" x14ac:dyDescent="0.2">
      <c r="A36" s="31">
        <v>4</v>
      </c>
      <c r="B36" s="32">
        <v>1</v>
      </c>
      <c r="C36" s="32">
        <v>0.96875</v>
      </c>
      <c r="D36" s="32">
        <v>0.828125</v>
      </c>
      <c r="E36" s="32">
        <v>0.5703125</v>
      </c>
      <c r="F36" s="32">
        <v>0.31640625</v>
      </c>
      <c r="G36" s="32">
        <v>0.158203125</v>
      </c>
      <c r="H36" s="32">
        <v>7.91015625E-2</v>
      </c>
      <c r="I36" s="32">
        <v>3.955078125E-2</v>
      </c>
      <c r="J36" s="31">
        <v>4</v>
      </c>
      <c r="K36" s="50">
        <v>4</v>
      </c>
      <c r="L36" s="50">
        <v>4</v>
      </c>
      <c r="M36" s="50">
        <v>2</v>
      </c>
      <c r="N36" s="50">
        <v>3</v>
      </c>
      <c r="O36" s="50">
        <v>4</v>
      </c>
      <c r="P36" s="50">
        <v>4</v>
      </c>
      <c r="Q36" s="50">
        <v>4</v>
      </c>
      <c r="R36" s="50">
        <v>4</v>
      </c>
    </row>
    <row r="37" spans="1:18" ht="14.1" customHeight="1" x14ac:dyDescent="0.2">
      <c r="A37" s="31">
        <v>5</v>
      </c>
      <c r="B37" s="32">
        <v>1</v>
      </c>
      <c r="C37" s="32">
        <v>0.984375</v>
      </c>
      <c r="D37" s="32">
        <v>0.8828125</v>
      </c>
      <c r="E37" s="32">
        <v>0.69921875</v>
      </c>
      <c r="F37" s="32">
        <v>0.44335937499999994</v>
      </c>
      <c r="G37" s="32">
        <v>0.23730468749999994</v>
      </c>
      <c r="H37" s="32">
        <v>0.11865234374999997</v>
      </c>
      <c r="I37" s="32">
        <v>5.9326171874999986E-2</v>
      </c>
      <c r="J37" s="31">
        <v>5</v>
      </c>
      <c r="K37" s="50">
        <v>5</v>
      </c>
      <c r="L37" s="50">
        <v>5</v>
      </c>
      <c r="M37" s="50">
        <v>3</v>
      </c>
      <c r="N37" s="50">
        <v>3</v>
      </c>
      <c r="O37" s="50">
        <v>4</v>
      </c>
      <c r="P37" s="50">
        <v>5</v>
      </c>
      <c r="Q37" s="50">
        <v>5</v>
      </c>
      <c r="R37" s="50">
        <v>5</v>
      </c>
    </row>
    <row r="38" spans="1:18" ht="14.1" customHeight="1" x14ac:dyDescent="0.2">
      <c r="A38" s="31">
        <v>6</v>
      </c>
      <c r="B38" s="32">
        <v>1</v>
      </c>
      <c r="C38" s="32">
        <v>0.9921875</v>
      </c>
      <c r="D38" s="32">
        <v>0.92578125</v>
      </c>
      <c r="E38" s="32">
        <v>0.775390625</v>
      </c>
      <c r="F38" s="32">
        <v>0.5712890625</v>
      </c>
      <c r="G38" s="32">
        <v>0.34033203124999994</v>
      </c>
      <c r="H38" s="32">
        <v>0.177978515625</v>
      </c>
      <c r="I38" s="32">
        <v>8.89892578125E-2</v>
      </c>
      <c r="J38" s="31">
        <v>6</v>
      </c>
      <c r="K38" s="50">
        <v>6</v>
      </c>
      <c r="L38" s="50">
        <v>6</v>
      </c>
      <c r="M38" s="50">
        <v>4</v>
      </c>
      <c r="N38" s="50">
        <v>3</v>
      </c>
      <c r="O38" s="50">
        <v>4</v>
      </c>
      <c r="P38" s="50">
        <v>5</v>
      </c>
      <c r="Q38" s="50">
        <v>6</v>
      </c>
      <c r="R38" s="50">
        <v>6</v>
      </c>
    </row>
    <row r="39" spans="1:18" ht="14.1" customHeight="1" x14ac:dyDescent="0.2">
      <c r="A39" s="31">
        <v>7</v>
      </c>
      <c r="B39" s="32">
        <v>1</v>
      </c>
      <c r="C39" s="32">
        <v>0.99609375</v>
      </c>
      <c r="D39" s="32">
        <v>0.955078125</v>
      </c>
      <c r="E39" s="32">
        <v>0.8369140625</v>
      </c>
      <c r="F39" s="32">
        <v>0.66162109375</v>
      </c>
      <c r="G39" s="32">
        <v>0.45581054687499989</v>
      </c>
      <c r="H39" s="32">
        <v>0.2591552734375</v>
      </c>
      <c r="I39" s="32">
        <v>0.13348388671875006</v>
      </c>
      <c r="J39" s="31">
        <v>7</v>
      </c>
      <c r="K39" s="50">
        <v>7</v>
      </c>
      <c r="L39" s="50">
        <v>7</v>
      </c>
      <c r="M39" s="50">
        <v>4</v>
      </c>
      <c r="N39" s="50">
        <v>3</v>
      </c>
      <c r="O39" s="50">
        <v>4</v>
      </c>
      <c r="P39" s="50">
        <v>5</v>
      </c>
      <c r="Q39" s="50">
        <v>6</v>
      </c>
      <c r="R39" s="50">
        <v>7</v>
      </c>
    </row>
    <row r="40" spans="1:18" ht="14.1" customHeight="1" x14ac:dyDescent="0.2">
      <c r="A40" s="31">
        <v>8</v>
      </c>
      <c r="B40" s="32">
        <v>1</v>
      </c>
      <c r="C40" s="32">
        <v>0.998046875</v>
      </c>
      <c r="D40" s="32">
        <v>0.9736328125</v>
      </c>
      <c r="E40" s="32">
        <v>0.88134765625</v>
      </c>
      <c r="F40" s="32">
        <v>0.734619140625</v>
      </c>
      <c r="G40" s="32">
        <v>0.55090332031249989</v>
      </c>
      <c r="H40" s="32">
        <v>0.35748291015625</v>
      </c>
      <c r="I40" s="32">
        <v>0.19631958007812506</v>
      </c>
      <c r="J40" s="31">
        <v>8</v>
      </c>
      <c r="K40" s="50">
        <v>8</v>
      </c>
      <c r="L40" s="50">
        <v>8</v>
      </c>
      <c r="M40" s="50">
        <v>4</v>
      </c>
      <c r="N40" s="50">
        <v>4</v>
      </c>
      <c r="O40" s="50">
        <v>4</v>
      </c>
      <c r="P40" s="50">
        <v>5</v>
      </c>
      <c r="Q40" s="50">
        <v>6</v>
      </c>
      <c r="R40" s="50">
        <v>7</v>
      </c>
    </row>
    <row r="41" spans="1:18" ht="14.1" customHeight="1" x14ac:dyDescent="0.2">
      <c r="A41" s="31">
        <v>9</v>
      </c>
      <c r="B41" s="32">
        <v>1</v>
      </c>
      <c r="C41" s="32">
        <v>0.9990234375</v>
      </c>
      <c r="D41" s="32">
        <v>0.98291015625</v>
      </c>
      <c r="E41" s="32">
        <v>0.918212890625</v>
      </c>
      <c r="F41" s="32">
        <v>0.7857666015625</v>
      </c>
      <c r="G41" s="32">
        <v>0.63006591796874989</v>
      </c>
      <c r="H41" s="32">
        <v>0.449310302734375</v>
      </c>
      <c r="I41" s="32">
        <v>0.27690124511718761</v>
      </c>
      <c r="J41" s="31">
        <v>9</v>
      </c>
      <c r="K41" s="50">
        <v>9</v>
      </c>
      <c r="L41" s="50">
        <v>9</v>
      </c>
      <c r="M41" s="50">
        <v>5</v>
      </c>
      <c r="N41" s="50">
        <v>5</v>
      </c>
      <c r="O41" s="50">
        <v>5</v>
      </c>
      <c r="P41" s="50">
        <v>5</v>
      </c>
      <c r="Q41" s="50">
        <v>6</v>
      </c>
      <c r="R41" s="50">
        <v>7</v>
      </c>
    </row>
    <row r="42" spans="1:18" ht="14.1" customHeight="1" x14ac:dyDescent="0.2">
      <c r="A42" s="31">
        <v>10</v>
      </c>
      <c r="B42" s="32">
        <v>1</v>
      </c>
      <c r="C42" s="32">
        <v>0.99951171875</v>
      </c>
      <c r="D42" s="32">
        <v>0.989501953125</v>
      </c>
      <c r="E42" s="32">
        <v>0.94592285156250011</v>
      </c>
      <c r="F42" s="32">
        <v>0.83453369140625</v>
      </c>
      <c r="G42" s="32">
        <v>0.68594360351562489</v>
      </c>
      <c r="H42" s="32">
        <v>0.5299224853515625</v>
      </c>
      <c r="I42" s="32">
        <v>0.36017608642578136</v>
      </c>
      <c r="J42" s="31">
        <v>10</v>
      </c>
      <c r="K42" s="50">
        <v>10</v>
      </c>
      <c r="L42" s="50">
        <v>10</v>
      </c>
      <c r="M42" s="50">
        <v>6</v>
      </c>
      <c r="N42" s="50">
        <v>6</v>
      </c>
      <c r="O42" s="50">
        <v>4</v>
      </c>
      <c r="P42" s="50">
        <v>5</v>
      </c>
      <c r="Q42" s="50">
        <v>6</v>
      </c>
      <c r="R42" s="50">
        <v>7</v>
      </c>
    </row>
    <row r="43" spans="1:18" ht="14.1" customHeight="1" x14ac:dyDescent="0.2">
      <c r="A43" s="31">
        <v>11</v>
      </c>
      <c r="B43" s="32">
        <v>1</v>
      </c>
      <c r="C43" s="32">
        <v>0.999755859375</v>
      </c>
      <c r="D43" s="32">
        <v>0.9937744140625</v>
      </c>
      <c r="E43" s="32">
        <v>0.96148681640625011</v>
      </c>
      <c r="F43" s="32">
        <v>0.87588500976562511</v>
      </c>
      <c r="G43" s="32">
        <v>0.74623107910156239</v>
      </c>
      <c r="H43" s="32">
        <v>0.59023284912109375</v>
      </c>
      <c r="I43" s="32">
        <v>0.43809127807617199</v>
      </c>
      <c r="J43" s="31">
        <v>11</v>
      </c>
      <c r="K43" s="50">
        <v>11</v>
      </c>
      <c r="L43" s="50">
        <v>11</v>
      </c>
      <c r="M43" s="50">
        <v>6</v>
      </c>
      <c r="N43" s="50">
        <v>6</v>
      </c>
      <c r="O43" s="50">
        <v>7</v>
      </c>
      <c r="P43" s="50">
        <v>5</v>
      </c>
      <c r="Q43" s="50">
        <v>6</v>
      </c>
      <c r="R43" s="50">
        <v>7</v>
      </c>
    </row>
    <row r="44" spans="1:18" ht="14.1" customHeight="1" x14ac:dyDescent="0.2">
      <c r="A44" s="31">
        <v>12</v>
      </c>
      <c r="B44" s="32">
        <v>1</v>
      </c>
      <c r="C44" s="32">
        <v>0.9998779296875</v>
      </c>
      <c r="D44" s="32">
        <v>0.99639892578125</v>
      </c>
      <c r="E44" s="32">
        <v>0.97451782226562511</v>
      </c>
      <c r="F44" s="32">
        <v>0.9109039306640625</v>
      </c>
      <c r="G44" s="32">
        <v>0.79038238525390625</v>
      </c>
      <c r="H44" s="32">
        <v>0.65365982055664063</v>
      </c>
      <c r="I44" s="32">
        <v>0.50006294250488292</v>
      </c>
      <c r="J44" s="31">
        <v>12</v>
      </c>
      <c r="K44" s="50">
        <v>12</v>
      </c>
      <c r="L44" s="50">
        <v>12</v>
      </c>
      <c r="M44" s="50">
        <v>6</v>
      </c>
      <c r="N44" s="50">
        <v>6</v>
      </c>
      <c r="O44" s="50">
        <v>8</v>
      </c>
      <c r="P44" s="50">
        <v>6</v>
      </c>
      <c r="Q44" s="50">
        <v>6</v>
      </c>
      <c r="R44" s="50">
        <v>7</v>
      </c>
    </row>
    <row r="45" spans="1:18" ht="14.1" customHeight="1" x14ac:dyDescent="0.2">
      <c r="C45" s="34">
        <v>0.5</v>
      </c>
      <c r="D45" s="31" t="s">
        <v>28</v>
      </c>
    </row>
    <row r="46" spans="1:18" ht="14.1" customHeight="1" x14ac:dyDescent="0.2">
      <c r="A46" s="31" t="s">
        <v>0</v>
      </c>
      <c r="B46" s="33">
        <v>0</v>
      </c>
      <c r="C46" s="33">
        <v>1</v>
      </c>
      <c r="D46" s="33">
        <v>2</v>
      </c>
      <c r="E46" s="33">
        <v>3</v>
      </c>
      <c r="F46" s="33">
        <v>4</v>
      </c>
      <c r="G46" s="33">
        <v>5</v>
      </c>
      <c r="H46" s="33">
        <v>6</v>
      </c>
      <c r="I46" s="33">
        <v>7</v>
      </c>
      <c r="J46" s="31" t="s">
        <v>0</v>
      </c>
      <c r="K46" s="31">
        <v>0</v>
      </c>
      <c r="L46" s="31">
        <v>1</v>
      </c>
      <c r="M46" s="31">
        <v>2</v>
      </c>
      <c r="N46" s="31">
        <v>3</v>
      </c>
      <c r="O46" s="31">
        <v>4</v>
      </c>
      <c r="P46" s="31">
        <v>5</v>
      </c>
      <c r="Q46" s="31">
        <v>6</v>
      </c>
      <c r="R46" s="31">
        <v>7</v>
      </c>
    </row>
    <row r="47" spans="1:18" ht="14.1" customHeight="1" x14ac:dyDescent="0.2">
      <c r="A47" s="31">
        <v>0</v>
      </c>
      <c r="B47" s="32">
        <v>1</v>
      </c>
      <c r="C47" s="32">
        <v>0.5</v>
      </c>
      <c r="D47" s="32">
        <v>0.25</v>
      </c>
      <c r="E47" s="32">
        <v>0.125</v>
      </c>
      <c r="F47" s="32">
        <v>6.25E-2</v>
      </c>
      <c r="G47" s="32">
        <v>3.125E-2</v>
      </c>
      <c r="H47" s="32">
        <v>1.5625E-2</v>
      </c>
      <c r="I47" s="32">
        <v>7.8125E-3</v>
      </c>
      <c r="J47" s="31">
        <v>0</v>
      </c>
      <c r="K47" s="50">
        <v>0</v>
      </c>
      <c r="L47" s="50">
        <v>0</v>
      </c>
      <c r="M47" s="50">
        <v>0</v>
      </c>
      <c r="N47" s="50">
        <v>0</v>
      </c>
      <c r="O47" s="50">
        <v>0</v>
      </c>
      <c r="P47" s="50">
        <v>0</v>
      </c>
      <c r="Q47" s="50">
        <v>0</v>
      </c>
      <c r="R47" s="50">
        <v>0</v>
      </c>
    </row>
    <row r="48" spans="1:18" ht="14.1" customHeight="1" x14ac:dyDescent="0.2">
      <c r="A48" s="31">
        <v>1</v>
      </c>
      <c r="B48" s="32">
        <v>1</v>
      </c>
      <c r="C48" s="32">
        <v>0.75</v>
      </c>
      <c r="D48" s="32">
        <v>0.375</v>
      </c>
      <c r="E48" s="32">
        <v>0.1875</v>
      </c>
      <c r="F48" s="32">
        <v>9.375E-2</v>
      </c>
      <c r="G48" s="32">
        <v>4.6875E-2</v>
      </c>
      <c r="H48" s="32">
        <v>2.34375E-2</v>
      </c>
      <c r="I48" s="32">
        <v>1.171875E-2</v>
      </c>
      <c r="J48" s="31">
        <v>1</v>
      </c>
      <c r="K48" s="50">
        <v>1</v>
      </c>
      <c r="L48" s="50">
        <v>1</v>
      </c>
      <c r="M48" s="50">
        <v>1</v>
      </c>
      <c r="N48" s="50">
        <v>1</v>
      </c>
      <c r="O48" s="50">
        <v>1</v>
      </c>
      <c r="P48" s="50">
        <v>1</v>
      </c>
      <c r="Q48" s="50">
        <v>1</v>
      </c>
      <c r="R48" s="50">
        <v>1</v>
      </c>
    </row>
    <row r="49" spans="1:18" ht="14.1" customHeight="1" x14ac:dyDescent="0.2">
      <c r="A49" s="31">
        <v>2</v>
      </c>
      <c r="B49" s="32">
        <v>1</v>
      </c>
      <c r="C49" s="32">
        <v>0.875</v>
      </c>
      <c r="D49" s="32">
        <v>0.5625</v>
      </c>
      <c r="E49" s="32">
        <v>0.28125</v>
      </c>
      <c r="F49" s="32">
        <v>0.140625</v>
      </c>
      <c r="G49" s="32">
        <v>7.03125E-2</v>
      </c>
      <c r="H49" s="32">
        <v>3.515625E-2</v>
      </c>
      <c r="I49" s="32">
        <v>1.7578125E-2</v>
      </c>
      <c r="J49" s="31">
        <v>2</v>
      </c>
      <c r="K49" s="50">
        <v>2</v>
      </c>
      <c r="L49" s="50">
        <v>2</v>
      </c>
      <c r="M49" s="50">
        <v>2</v>
      </c>
      <c r="N49" s="50">
        <v>2</v>
      </c>
      <c r="O49" s="50">
        <v>2</v>
      </c>
      <c r="P49" s="50">
        <v>2</v>
      </c>
      <c r="Q49" s="50">
        <v>2</v>
      </c>
      <c r="R49" s="50">
        <v>2</v>
      </c>
    </row>
    <row r="50" spans="1:18" ht="14.1" customHeight="1" x14ac:dyDescent="0.2">
      <c r="A50" s="31">
        <v>3</v>
      </c>
      <c r="B50" s="32">
        <v>1</v>
      </c>
      <c r="C50" s="32">
        <v>0.9375</v>
      </c>
      <c r="D50" s="32">
        <v>0.71875</v>
      </c>
      <c r="E50" s="32">
        <v>0.421875</v>
      </c>
      <c r="F50" s="32">
        <v>0.2109375</v>
      </c>
      <c r="G50" s="32">
        <v>0.10546875</v>
      </c>
      <c r="H50" s="32">
        <v>5.2734375E-2</v>
      </c>
      <c r="I50" s="32">
        <v>2.63671875E-2</v>
      </c>
      <c r="J50" s="31">
        <v>3</v>
      </c>
      <c r="K50" s="50">
        <v>3</v>
      </c>
      <c r="L50" s="50">
        <v>3</v>
      </c>
      <c r="M50" s="50">
        <v>2</v>
      </c>
      <c r="N50" s="50">
        <v>3</v>
      </c>
      <c r="O50" s="50">
        <v>3</v>
      </c>
      <c r="P50" s="50">
        <v>3</v>
      </c>
      <c r="Q50" s="50">
        <v>3</v>
      </c>
      <c r="R50" s="50">
        <v>3</v>
      </c>
    </row>
    <row r="51" spans="1:18" ht="14.1" customHeight="1" x14ac:dyDescent="0.2">
      <c r="A51" s="31">
        <v>4</v>
      </c>
      <c r="B51" s="32">
        <v>1</v>
      </c>
      <c r="C51" s="32">
        <v>0.96875</v>
      </c>
      <c r="D51" s="32">
        <v>0.828125</v>
      </c>
      <c r="E51" s="32">
        <v>0.5703125</v>
      </c>
      <c r="F51" s="32">
        <v>0.31640625</v>
      </c>
      <c r="G51" s="32">
        <v>0.158203125</v>
      </c>
      <c r="H51" s="32">
        <v>7.91015625E-2</v>
      </c>
      <c r="I51" s="32">
        <v>3.955078125E-2</v>
      </c>
      <c r="J51" s="31">
        <v>4</v>
      </c>
      <c r="K51" s="50">
        <v>4</v>
      </c>
      <c r="L51" s="50">
        <v>4</v>
      </c>
      <c r="M51" s="50">
        <v>2</v>
      </c>
      <c r="N51" s="50">
        <v>3</v>
      </c>
      <c r="O51" s="50">
        <v>4</v>
      </c>
      <c r="P51" s="50">
        <v>4</v>
      </c>
      <c r="Q51" s="50">
        <v>4</v>
      </c>
      <c r="R51" s="50">
        <v>4</v>
      </c>
    </row>
    <row r="52" spans="1:18" ht="14.1" customHeight="1" x14ac:dyDescent="0.2">
      <c r="A52" s="31">
        <v>5</v>
      </c>
      <c r="B52" s="32">
        <v>1</v>
      </c>
      <c r="C52" s="32">
        <v>0.984375</v>
      </c>
      <c r="D52" s="32">
        <v>0.8984375</v>
      </c>
      <c r="E52" s="32">
        <v>0.69921875</v>
      </c>
      <c r="F52" s="32">
        <v>0.44335937499999994</v>
      </c>
      <c r="G52" s="32">
        <v>0.23730468749999994</v>
      </c>
      <c r="H52" s="32">
        <v>0.11865234374999997</v>
      </c>
      <c r="I52" s="32">
        <v>5.9326171874999986E-2</v>
      </c>
      <c r="J52" s="31">
        <v>5</v>
      </c>
      <c r="K52" s="50">
        <v>5</v>
      </c>
      <c r="L52" s="50">
        <v>5</v>
      </c>
      <c r="M52" s="50">
        <v>2</v>
      </c>
      <c r="N52" s="50">
        <v>3</v>
      </c>
      <c r="O52" s="50">
        <v>4</v>
      </c>
      <c r="P52" s="50">
        <v>5</v>
      </c>
      <c r="Q52" s="50">
        <v>5</v>
      </c>
      <c r="R52" s="50">
        <v>5</v>
      </c>
    </row>
    <row r="53" spans="1:18" ht="14.1" customHeight="1" x14ac:dyDescent="0.2">
      <c r="A53" s="31">
        <v>6</v>
      </c>
      <c r="B53" s="32">
        <v>1</v>
      </c>
      <c r="C53" s="32">
        <v>0.9921875</v>
      </c>
      <c r="D53" s="32">
        <v>0.94140625</v>
      </c>
      <c r="E53" s="32">
        <v>0.798828125</v>
      </c>
      <c r="F53" s="32">
        <v>0.5712890625</v>
      </c>
      <c r="G53" s="32">
        <v>0.34033203124999994</v>
      </c>
      <c r="H53" s="32">
        <v>0.177978515625</v>
      </c>
      <c r="I53" s="32">
        <v>8.89892578125E-2</v>
      </c>
      <c r="J53" s="31">
        <v>6</v>
      </c>
      <c r="K53" s="50">
        <v>6</v>
      </c>
      <c r="L53" s="50">
        <v>6</v>
      </c>
      <c r="M53" s="50">
        <v>2</v>
      </c>
      <c r="N53" s="50">
        <v>3</v>
      </c>
      <c r="O53" s="50">
        <v>4</v>
      </c>
      <c r="P53" s="50">
        <v>5</v>
      </c>
      <c r="Q53" s="50">
        <v>6</v>
      </c>
      <c r="R53" s="50">
        <v>6</v>
      </c>
    </row>
    <row r="54" spans="1:18" ht="14.1" customHeight="1" x14ac:dyDescent="0.2">
      <c r="A54" s="31">
        <v>7</v>
      </c>
      <c r="B54" s="32">
        <v>1</v>
      </c>
      <c r="C54" s="32">
        <v>0.99609375</v>
      </c>
      <c r="D54" s="32">
        <v>0.962890625</v>
      </c>
      <c r="E54" s="32">
        <v>0.8701171875</v>
      </c>
      <c r="F54" s="32">
        <v>0.68505859375</v>
      </c>
      <c r="G54" s="32">
        <v>0.45581054687499989</v>
      </c>
      <c r="H54" s="32">
        <v>0.2591552734375</v>
      </c>
      <c r="I54" s="32">
        <v>0.13348388671875006</v>
      </c>
      <c r="J54" s="31">
        <v>7</v>
      </c>
      <c r="K54" s="50">
        <v>7</v>
      </c>
      <c r="L54" s="50">
        <v>7</v>
      </c>
      <c r="M54" s="50">
        <v>3</v>
      </c>
      <c r="N54" s="50">
        <v>3</v>
      </c>
      <c r="O54" s="50">
        <v>4</v>
      </c>
      <c r="P54" s="50">
        <v>5</v>
      </c>
      <c r="Q54" s="50">
        <v>6</v>
      </c>
      <c r="R54" s="50">
        <v>7</v>
      </c>
    </row>
    <row r="55" spans="1:18" ht="14.1" customHeight="1" x14ac:dyDescent="0.2">
      <c r="A55" s="31">
        <v>8</v>
      </c>
      <c r="B55" s="32">
        <v>1</v>
      </c>
      <c r="C55" s="32">
        <v>0.998046875</v>
      </c>
      <c r="D55" s="32">
        <v>0.9775390625</v>
      </c>
      <c r="E55" s="32">
        <v>0.91259765625</v>
      </c>
      <c r="F55" s="32">
        <v>0.777587890625</v>
      </c>
      <c r="G55" s="32">
        <v>0.57043457031249989</v>
      </c>
      <c r="H55" s="32">
        <v>0.35748291015625</v>
      </c>
      <c r="I55" s="32">
        <v>0.19631958007812506</v>
      </c>
      <c r="J55" s="31">
        <v>8</v>
      </c>
      <c r="K55" s="50">
        <v>8</v>
      </c>
      <c r="L55" s="50">
        <v>8</v>
      </c>
      <c r="M55" s="50">
        <v>4</v>
      </c>
      <c r="N55" s="50">
        <v>3</v>
      </c>
      <c r="O55" s="50">
        <v>4</v>
      </c>
      <c r="P55" s="50">
        <v>5</v>
      </c>
      <c r="Q55" s="50">
        <v>6</v>
      </c>
      <c r="R55" s="50">
        <v>7</v>
      </c>
    </row>
    <row r="56" spans="1:18" ht="14.1" customHeight="1" x14ac:dyDescent="0.2">
      <c r="A56" s="31">
        <v>9</v>
      </c>
      <c r="B56" s="32">
        <v>1</v>
      </c>
      <c r="C56" s="32">
        <v>0.9990234375</v>
      </c>
      <c r="D56" s="32">
        <v>0.98681640625</v>
      </c>
      <c r="E56" s="32">
        <v>0.941162109375</v>
      </c>
      <c r="F56" s="32">
        <v>0.8421630859375</v>
      </c>
      <c r="G56" s="32">
        <v>0.67401123046874989</v>
      </c>
      <c r="H56" s="32">
        <v>0.463958740234375</v>
      </c>
      <c r="I56" s="32">
        <v>0.27690124511718761</v>
      </c>
      <c r="J56" s="31">
        <v>9</v>
      </c>
      <c r="K56" s="50">
        <v>9</v>
      </c>
      <c r="L56" s="50">
        <v>9</v>
      </c>
      <c r="M56" s="50">
        <v>4</v>
      </c>
      <c r="N56" s="50">
        <v>3</v>
      </c>
      <c r="O56" s="50">
        <v>4</v>
      </c>
      <c r="P56" s="50">
        <v>5</v>
      </c>
      <c r="Q56" s="50">
        <v>6</v>
      </c>
      <c r="R56" s="50">
        <v>7</v>
      </c>
    </row>
    <row r="57" spans="1:18" ht="14.1" customHeight="1" x14ac:dyDescent="0.2">
      <c r="A57" s="31">
        <v>10</v>
      </c>
      <c r="B57" s="32">
        <v>1</v>
      </c>
      <c r="C57" s="32">
        <v>0.99951171875</v>
      </c>
      <c r="D57" s="32">
        <v>0.992431640625</v>
      </c>
      <c r="E57" s="32">
        <v>0.9613037109375</v>
      </c>
      <c r="F57" s="32">
        <v>0.88726806640625</v>
      </c>
      <c r="G57" s="32">
        <v>0.75613403320312489</v>
      </c>
      <c r="H57" s="32">
        <v>0.5689849853515625</v>
      </c>
      <c r="I57" s="32">
        <v>0.37042999267578136</v>
      </c>
      <c r="J57" s="31">
        <v>10</v>
      </c>
      <c r="K57" s="50">
        <v>10</v>
      </c>
      <c r="L57" s="50">
        <v>10</v>
      </c>
      <c r="M57" s="50">
        <v>4</v>
      </c>
      <c r="N57" s="50">
        <v>3</v>
      </c>
      <c r="O57" s="50">
        <v>4</v>
      </c>
      <c r="P57" s="50">
        <v>5</v>
      </c>
      <c r="Q57" s="50">
        <v>6</v>
      </c>
      <c r="R57" s="50">
        <v>7</v>
      </c>
    </row>
    <row r="58" spans="1:18" ht="14.1" customHeight="1" x14ac:dyDescent="0.2">
      <c r="A58" s="31">
        <v>11</v>
      </c>
      <c r="B58" s="32">
        <v>1</v>
      </c>
      <c r="C58" s="32">
        <v>0.999755859375</v>
      </c>
      <c r="D58" s="32">
        <v>0.9957275390625</v>
      </c>
      <c r="E58" s="32">
        <v>0.97454833984375</v>
      </c>
      <c r="F58" s="32">
        <v>0.920257568359375</v>
      </c>
      <c r="G58" s="32">
        <v>0.81779479980468739</v>
      </c>
      <c r="H58" s="32">
        <v>0.66133880615234375</v>
      </c>
      <c r="I58" s="32">
        <v>0.46970748901367199</v>
      </c>
      <c r="J58" s="31">
        <v>11</v>
      </c>
      <c r="K58" s="50">
        <v>11</v>
      </c>
      <c r="L58" s="50">
        <v>11</v>
      </c>
      <c r="M58" s="50">
        <v>4</v>
      </c>
      <c r="N58" s="50">
        <v>3</v>
      </c>
      <c r="O58" s="50">
        <v>4</v>
      </c>
      <c r="P58" s="50">
        <v>5</v>
      </c>
      <c r="Q58" s="50">
        <v>6</v>
      </c>
      <c r="R58" s="50">
        <v>7</v>
      </c>
    </row>
    <row r="59" spans="1:18" ht="14.1" customHeight="1" x14ac:dyDescent="0.2">
      <c r="A59" s="31">
        <v>12</v>
      </c>
      <c r="B59" s="32">
        <v>1</v>
      </c>
      <c r="C59" s="32">
        <v>0.9998779296875</v>
      </c>
      <c r="D59" s="32">
        <v>0.99761962890625</v>
      </c>
      <c r="E59" s="32">
        <v>0.983489990234375</v>
      </c>
      <c r="F59" s="32">
        <v>0.9433746337890625</v>
      </c>
      <c r="G59" s="32">
        <v>0.86450958251953114</v>
      </c>
      <c r="H59" s="32">
        <v>0.73651504516601563</v>
      </c>
      <c r="I59" s="32">
        <v>0.56479072570800792</v>
      </c>
      <c r="J59" s="31">
        <v>12</v>
      </c>
      <c r="K59" s="50">
        <v>12</v>
      </c>
      <c r="L59" s="50">
        <v>12</v>
      </c>
      <c r="M59" s="50">
        <v>4</v>
      </c>
      <c r="N59" s="50">
        <v>4</v>
      </c>
      <c r="O59" s="50">
        <v>4</v>
      </c>
      <c r="P59" s="50">
        <v>5</v>
      </c>
      <c r="Q59" s="50">
        <v>6</v>
      </c>
      <c r="R59" s="50">
        <v>7</v>
      </c>
    </row>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20481" r:id="rId3" name="CommandButton1">
          <controlPr defaultSize="0" autoLine="0" r:id="rId4">
            <anchor moveWithCells="1">
              <from>
                <xdr:col>12</xdr:col>
                <xdr:colOff>200025</xdr:colOff>
                <xdr:row>11</xdr:row>
                <xdr:rowOff>133350</xdr:rowOff>
              </from>
              <to>
                <xdr:col>15</xdr:col>
                <xdr:colOff>47625</xdr:colOff>
                <xdr:row>13</xdr:row>
                <xdr:rowOff>66675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autoLine="0" r:id="rId6">
            <anchor moveWithCells="1">
              <from>
                <xdr:col>12</xdr:col>
                <xdr:colOff>171450</xdr:colOff>
                <xdr:row>2</xdr:row>
                <xdr:rowOff>95250</xdr:rowOff>
              </from>
              <to>
                <xdr:col>15</xdr:col>
                <xdr:colOff>19050</xdr:colOff>
                <xdr:row>4</xdr:row>
                <xdr:rowOff>19050</xdr:rowOff>
              </to>
            </anchor>
          </controlPr>
        </control>
      </mc:Choice>
      <mc:Fallback>
        <control shapeId="20482" r:id="rId5" name="CommandButton2"/>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6"/>
  <sheetViews>
    <sheetView workbookViewId="0">
      <selection activeCell="T17" sqref="T17"/>
    </sheetView>
  </sheetViews>
  <sheetFormatPr defaultColWidth="8.83203125" defaultRowHeight="12.75" x14ac:dyDescent="0.2"/>
  <cols>
    <col min="1" max="16384" width="8.83203125" style="51"/>
  </cols>
  <sheetData>
    <row r="1" spans="1:15" x14ac:dyDescent="0.2">
      <c r="A1" s="57" t="s">
        <v>32</v>
      </c>
      <c r="B1" s="52">
        <f>1/$I$3</f>
        <v>1.25</v>
      </c>
      <c r="C1" s="52">
        <f>1+B4</f>
        <v>1.75</v>
      </c>
      <c r="D1" s="52">
        <f>1+MAX($B5:$C5)</f>
        <v>2.0499999999999998</v>
      </c>
      <c r="E1" s="52">
        <f>1+MAX($B6:$D6)</f>
        <v>2.4000000000000004</v>
      </c>
      <c r="F1" s="52">
        <f>1+MAX($B7:$E7)</f>
        <v>2.6399999999999997</v>
      </c>
      <c r="G1" s="52">
        <f>1+MAX($B8:$F8)</f>
        <v>2.9200000000000004</v>
      </c>
      <c r="H1" s="52">
        <f>1+MAX($B9:$G9)</f>
        <v>3.1600000000000006</v>
      </c>
      <c r="I1" s="52">
        <f>1+MAX($B10:$N10)</f>
        <v>3.3759999999999999</v>
      </c>
      <c r="J1" s="52">
        <f>1+MAX($B11:$N11)</f>
        <v>3.6280000000000006</v>
      </c>
      <c r="K1" s="52">
        <f>1+MAX($B12:$N12)</f>
        <v>3.8440000000000007</v>
      </c>
      <c r="L1" s="52">
        <f>1+MAX($B13:$N13)</f>
        <v>4.0383999999999993</v>
      </c>
      <c r="M1" s="52">
        <f>1+MAX($B14:$N14)</f>
        <v>4.2652000000000001</v>
      </c>
      <c r="N1" s="52">
        <f>1+MAX($B15:$N15)</f>
        <v>4.4596000000000009</v>
      </c>
      <c r="O1" s="52">
        <f>1+MAX($B16:$N16)</f>
        <v>4.6518000000000006</v>
      </c>
    </row>
    <row r="2" spans="1:15" x14ac:dyDescent="0.2">
      <c r="A2" s="57" t="s">
        <v>33</v>
      </c>
      <c r="B2" s="51">
        <v>0</v>
      </c>
      <c r="C2" s="51">
        <v>1</v>
      </c>
      <c r="D2" s="51">
        <v>2</v>
      </c>
      <c r="E2" s="51">
        <v>3</v>
      </c>
      <c r="F2" s="51">
        <v>4</v>
      </c>
      <c r="G2" s="51">
        <v>5</v>
      </c>
      <c r="H2" s="51">
        <v>6</v>
      </c>
      <c r="I2" s="51">
        <v>7</v>
      </c>
      <c r="J2" s="51">
        <v>8</v>
      </c>
      <c r="K2" s="51">
        <v>9</v>
      </c>
      <c r="L2" s="51">
        <v>10</v>
      </c>
      <c r="M2" s="51">
        <v>11</v>
      </c>
      <c r="N2" s="51">
        <v>12</v>
      </c>
      <c r="O2" s="51">
        <v>13</v>
      </c>
    </row>
    <row r="3" spans="1:15" x14ac:dyDescent="0.2">
      <c r="A3" s="51" t="s">
        <v>29</v>
      </c>
      <c r="D3" s="56" t="s">
        <v>31</v>
      </c>
      <c r="E3" s="53"/>
      <c r="F3" s="54">
        <v>0.5</v>
      </c>
      <c r="G3" s="56" t="s">
        <v>30</v>
      </c>
      <c r="H3" s="53"/>
      <c r="I3" s="54">
        <v>0.8</v>
      </c>
    </row>
    <row r="4" spans="1:15" x14ac:dyDescent="0.2">
      <c r="A4" s="51">
        <v>1</v>
      </c>
      <c r="B4" s="55">
        <f>(1-$I$3*(1-$F$3)^($A4-B$2))*$B1</f>
        <v>0.75</v>
      </c>
    </row>
    <row r="5" spans="1:15" x14ac:dyDescent="0.2">
      <c r="A5" s="51">
        <v>2</v>
      </c>
      <c r="B5" s="51">
        <f t="shared" ref="B5:B16" si="0">(1-$I$3*(1-$F$3)^($A5-B$2))*$B$1</f>
        <v>1</v>
      </c>
      <c r="C5" s="51">
        <f t="shared" ref="C5:C16" si="1">(1-$I$3*(1-$F$3)^($A5-C$2))*$C$1</f>
        <v>1.05</v>
      </c>
    </row>
    <row r="6" spans="1:15" x14ac:dyDescent="0.2">
      <c r="A6" s="51">
        <v>3</v>
      </c>
      <c r="B6" s="51">
        <f t="shared" si="0"/>
        <v>1.125</v>
      </c>
      <c r="C6" s="51">
        <f t="shared" si="1"/>
        <v>1.4000000000000001</v>
      </c>
      <c r="D6" s="51">
        <f t="shared" ref="D6:D16" si="2">(1-$I$3*(1-$F$3)^($A6-D$2))*$D$1</f>
        <v>1.2299999999999998</v>
      </c>
    </row>
    <row r="7" spans="1:15" x14ac:dyDescent="0.2">
      <c r="A7" s="51">
        <v>4</v>
      </c>
      <c r="B7" s="51">
        <f t="shared" si="0"/>
        <v>1.1875</v>
      </c>
      <c r="C7" s="51">
        <f t="shared" si="1"/>
        <v>1.575</v>
      </c>
      <c r="D7" s="51">
        <f t="shared" si="2"/>
        <v>1.64</v>
      </c>
      <c r="E7" s="51">
        <f t="shared" ref="E7:E16" si="3">(1-$I$3*(1-$F$3)^($A7-E$2))*$E$1</f>
        <v>1.4400000000000002</v>
      </c>
    </row>
    <row r="8" spans="1:15" x14ac:dyDescent="0.2">
      <c r="A8" s="51">
        <v>5</v>
      </c>
      <c r="B8" s="51">
        <f t="shared" si="0"/>
        <v>1.21875</v>
      </c>
      <c r="C8" s="51">
        <f t="shared" si="1"/>
        <v>1.6624999999999999</v>
      </c>
      <c r="D8" s="51">
        <f t="shared" si="2"/>
        <v>1.845</v>
      </c>
      <c r="E8" s="51">
        <f t="shared" si="3"/>
        <v>1.9200000000000004</v>
      </c>
      <c r="F8" s="51">
        <f t="shared" ref="F8:F16" si="4">(1-$I$3*(1-$F$3)^($A8-F$2))*$F$1</f>
        <v>1.5839999999999999</v>
      </c>
    </row>
    <row r="9" spans="1:15" x14ac:dyDescent="0.2">
      <c r="A9" s="51">
        <v>6</v>
      </c>
      <c r="B9" s="51">
        <f t="shared" si="0"/>
        <v>1.234375</v>
      </c>
      <c r="C9" s="51">
        <f t="shared" si="1"/>
        <v>1.70625</v>
      </c>
      <c r="D9" s="51">
        <f t="shared" si="2"/>
        <v>1.9474999999999998</v>
      </c>
      <c r="E9" s="51">
        <f t="shared" si="3"/>
        <v>2.1600000000000006</v>
      </c>
      <c r="F9" s="51">
        <f t="shared" si="4"/>
        <v>2.1119999999999997</v>
      </c>
      <c r="G9" s="51">
        <f t="shared" ref="G9:G16" si="5">(1-$I$3*(1-$F$3)^($A9-G$2))*$G$1</f>
        <v>1.7520000000000002</v>
      </c>
    </row>
    <row r="10" spans="1:15" x14ac:dyDescent="0.2">
      <c r="A10" s="51">
        <v>7</v>
      </c>
      <c r="B10" s="51">
        <f t="shared" si="0"/>
        <v>1.2421875</v>
      </c>
      <c r="C10" s="51">
        <f t="shared" si="1"/>
        <v>1.7281250000000001</v>
      </c>
      <c r="D10" s="51">
        <f t="shared" si="2"/>
        <v>1.9987499999999998</v>
      </c>
      <c r="E10" s="51">
        <f t="shared" si="3"/>
        <v>2.2800000000000002</v>
      </c>
      <c r="F10" s="51">
        <f t="shared" si="4"/>
        <v>2.3759999999999999</v>
      </c>
      <c r="G10" s="51">
        <f t="shared" si="5"/>
        <v>2.3360000000000003</v>
      </c>
      <c r="H10" s="51">
        <f t="shared" ref="H10:H16" si="6">(1-$I$3*(1-$F$3)^($A10-H$2))*$H$1</f>
        <v>1.8960000000000004</v>
      </c>
    </row>
    <row r="11" spans="1:15" x14ac:dyDescent="0.2">
      <c r="A11" s="51">
        <v>8</v>
      </c>
      <c r="B11" s="51">
        <f t="shared" si="0"/>
        <v>1.24609375</v>
      </c>
      <c r="C11" s="51">
        <f t="shared" si="1"/>
        <v>1.7390625</v>
      </c>
      <c r="D11" s="51">
        <f t="shared" si="2"/>
        <v>2.024375</v>
      </c>
      <c r="E11" s="51">
        <f t="shared" si="3"/>
        <v>2.3400000000000003</v>
      </c>
      <c r="F11" s="51">
        <f t="shared" si="4"/>
        <v>2.5079999999999996</v>
      </c>
      <c r="G11" s="51">
        <f t="shared" si="5"/>
        <v>2.6280000000000006</v>
      </c>
      <c r="H11" s="51">
        <f t="shared" si="6"/>
        <v>2.5280000000000005</v>
      </c>
      <c r="I11" s="51">
        <f t="shared" ref="I11:I16" si="7">(1-$I$3*(1-$F$3)^($A11-I$2))*$I$1</f>
        <v>2.0255999999999998</v>
      </c>
    </row>
    <row r="12" spans="1:15" x14ac:dyDescent="0.2">
      <c r="A12" s="51">
        <v>9</v>
      </c>
      <c r="B12" s="51">
        <f t="shared" si="0"/>
        <v>1.248046875</v>
      </c>
      <c r="C12" s="51">
        <f t="shared" si="1"/>
        <v>1.7445312499999999</v>
      </c>
      <c r="D12" s="51">
        <f t="shared" si="2"/>
        <v>2.0371874999999999</v>
      </c>
      <c r="E12" s="51">
        <f t="shared" si="3"/>
        <v>2.3700000000000006</v>
      </c>
      <c r="F12" s="51">
        <f t="shared" si="4"/>
        <v>2.5739999999999998</v>
      </c>
      <c r="G12" s="51">
        <f t="shared" si="5"/>
        <v>2.774</v>
      </c>
      <c r="H12" s="51">
        <f t="shared" si="6"/>
        <v>2.8440000000000007</v>
      </c>
      <c r="I12" s="51">
        <f t="shared" si="7"/>
        <v>2.7008000000000001</v>
      </c>
      <c r="J12" s="51">
        <f>(1-$I$3*(1-$F$3)^($A12-J$2))*$J$1</f>
        <v>2.1768000000000001</v>
      </c>
    </row>
    <row r="13" spans="1:15" x14ac:dyDescent="0.2">
      <c r="A13" s="51">
        <v>10</v>
      </c>
      <c r="B13" s="51">
        <f t="shared" si="0"/>
        <v>1.2490234375</v>
      </c>
      <c r="C13" s="51">
        <f t="shared" si="1"/>
        <v>1.747265625</v>
      </c>
      <c r="D13" s="51">
        <f t="shared" si="2"/>
        <v>2.0435937499999999</v>
      </c>
      <c r="E13" s="51">
        <f t="shared" si="3"/>
        <v>2.3850000000000002</v>
      </c>
      <c r="F13" s="51">
        <f t="shared" si="4"/>
        <v>2.6069999999999998</v>
      </c>
      <c r="G13" s="51">
        <f t="shared" si="5"/>
        <v>2.8470000000000004</v>
      </c>
      <c r="H13" s="51">
        <f t="shared" si="6"/>
        <v>3.0020000000000002</v>
      </c>
      <c r="I13" s="51">
        <f t="shared" si="7"/>
        <v>3.0383999999999998</v>
      </c>
      <c r="J13" s="51">
        <f>(1-$I$3*(1-$F$3)^($A13-J$2))*$J$1</f>
        <v>2.9024000000000005</v>
      </c>
      <c r="K13" s="51">
        <f>(1-$I$3*(1-$F$3)^($A13-K$2))*$K$1</f>
        <v>2.3064000000000004</v>
      </c>
    </row>
    <row r="14" spans="1:15" x14ac:dyDescent="0.2">
      <c r="A14" s="51">
        <v>11</v>
      </c>
      <c r="B14" s="51">
        <f t="shared" si="0"/>
        <v>1.24951171875</v>
      </c>
      <c r="C14" s="51">
        <f t="shared" si="1"/>
        <v>1.7486328125000001</v>
      </c>
      <c r="D14" s="51">
        <f t="shared" si="2"/>
        <v>2.0467968749999996</v>
      </c>
      <c r="E14" s="51">
        <f t="shared" si="3"/>
        <v>2.3925000000000001</v>
      </c>
      <c r="F14" s="51">
        <f t="shared" si="4"/>
        <v>2.6234999999999999</v>
      </c>
      <c r="G14" s="51">
        <f t="shared" si="5"/>
        <v>2.8835000000000006</v>
      </c>
      <c r="H14" s="51">
        <f t="shared" si="6"/>
        <v>3.0810000000000004</v>
      </c>
      <c r="I14" s="51">
        <f t="shared" si="7"/>
        <v>3.2071999999999998</v>
      </c>
      <c r="J14" s="51">
        <f>(1-$I$3*(1-$F$3)^($A14-J$2))*$J$1</f>
        <v>3.2652000000000005</v>
      </c>
      <c r="K14" s="51">
        <f>(1-$I$3*(1-$F$3)^($A14-K$2))*$K$1</f>
        <v>3.0752000000000006</v>
      </c>
      <c r="L14" s="51">
        <f>(1-$I$3*(1-$F$3)^($A14-L$2))*$L$1</f>
        <v>2.4230399999999994</v>
      </c>
    </row>
    <row r="15" spans="1:15" x14ac:dyDescent="0.2">
      <c r="A15" s="51">
        <v>12</v>
      </c>
      <c r="B15" s="51">
        <f t="shared" si="0"/>
        <v>1.249755859375</v>
      </c>
      <c r="C15" s="51">
        <f t="shared" si="1"/>
        <v>1.74931640625</v>
      </c>
      <c r="D15" s="51">
        <f t="shared" si="2"/>
        <v>2.0483984374999999</v>
      </c>
      <c r="E15" s="51">
        <f t="shared" si="3"/>
        <v>2.3962500000000002</v>
      </c>
      <c r="F15" s="51">
        <f t="shared" si="4"/>
        <v>2.6317499999999994</v>
      </c>
      <c r="G15" s="51">
        <f t="shared" si="5"/>
        <v>2.9017500000000003</v>
      </c>
      <c r="H15" s="51">
        <f t="shared" si="6"/>
        <v>3.1205000000000007</v>
      </c>
      <c r="I15" s="51">
        <f t="shared" si="7"/>
        <v>3.2915999999999999</v>
      </c>
      <c r="J15" s="51">
        <f>(1-$I$3*(1-$F$3)^($A15-J$2))*$J$1</f>
        <v>3.4466000000000006</v>
      </c>
      <c r="K15" s="51">
        <f>(1-$I$3*(1-$F$3)^($A15-K$2))*$K$1</f>
        <v>3.4596000000000009</v>
      </c>
      <c r="L15" s="51">
        <f>(1-$I$3*(1-$F$3)^($A15-L$2))*$L$1</f>
        <v>3.2307199999999998</v>
      </c>
      <c r="M15" s="51">
        <f>(1-$I$3*(1-$F$3)^($A15-M$2))*$M$1</f>
        <v>2.5591200000000001</v>
      </c>
    </row>
    <row r="16" spans="1:15" x14ac:dyDescent="0.2">
      <c r="A16" s="51">
        <v>13</v>
      </c>
      <c r="B16" s="51">
        <f t="shared" si="0"/>
        <v>1.2498779296875</v>
      </c>
      <c r="C16" s="51">
        <f t="shared" si="1"/>
        <v>1.7496582031249999</v>
      </c>
      <c r="D16" s="51">
        <f t="shared" si="2"/>
        <v>2.0491992187499997</v>
      </c>
      <c r="E16" s="51">
        <f t="shared" si="3"/>
        <v>2.3981250000000003</v>
      </c>
      <c r="F16" s="51">
        <f t="shared" si="4"/>
        <v>2.6358749999999995</v>
      </c>
      <c r="G16" s="51">
        <f t="shared" si="5"/>
        <v>2.9108750000000003</v>
      </c>
      <c r="H16" s="51">
        <f t="shared" si="6"/>
        <v>3.1402500000000009</v>
      </c>
      <c r="I16" s="51">
        <f t="shared" si="7"/>
        <v>3.3338000000000001</v>
      </c>
      <c r="J16" s="51">
        <f>(1-$I$3*(1-$F$3)^($A16-J$2))*$J$1</f>
        <v>3.5373000000000006</v>
      </c>
      <c r="K16" s="51">
        <f>(1-$I$3*(1-$F$3)^($A16-K$2))*$K$1</f>
        <v>3.6518000000000006</v>
      </c>
      <c r="L16" s="51">
        <f>(1-$I$3*(1-$F$3)^($A16-L$2))*$L$1</f>
        <v>3.6345599999999996</v>
      </c>
      <c r="M16" s="51">
        <f>(1-$I$3*(1-$F$3)^($A16-M$2))*$M$1</f>
        <v>3.4121600000000001</v>
      </c>
      <c r="N16" s="51">
        <f>(1-$I$3*(1-$F$3)^($A16-N$2))*$N$1</f>
        <v>2.6757600000000004</v>
      </c>
    </row>
  </sheetData>
  <phoneticPr fontId="3" type="noConversion"/>
  <conditionalFormatting sqref="B5:N16">
    <cfRule type="cellIs" dxfId="0" priority="1" stopIfTrue="1" operator="equal">
      <formula>MAX($B5:$N5)</formula>
    </cfRule>
  </conditionalFormatting>
  <conditionalFormatting sqref="O5">
    <cfRule type="cellIs" priority="2" stopIfTrue="1" operator="equal">
      <formula>$O$5</formula>
    </cfRule>
  </conditionalFormatting>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7"/>
  <sheetViews>
    <sheetView workbookViewId="0">
      <selection activeCell="L1" sqref="L1"/>
    </sheetView>
  </sheetViews>
  <sheetFormatPr defaultRowHeight="12.75" x14ac:dyDescent="0.2"/>
  <sheetData>
    <row r="1" spans="1:9" x14ac:dyDescent="0.2">
      <c r="A1" t="s">
        <v>5</v>
      </c>
      <c r="B1" t="s">
        <v>2</v>
      </c>
      <c r="C1" t="s">
        <v>3</v>
      </c>
      <c r="D1" t="s">
        <v>6</v>
      </c>
      <c r="E1" t="s">
        <v>7</v>
      </c>
      <c r="F1" t="s">
        <v>11</v>
      </c>
      <c r="I1" s="3">
        <v>0.8</v>
      </c>
    </row>
    <row r="2" spans="1:9" x14ac:dyDescent="0.2">
      <c r="A2">
        <v>1</v>
      </c>
      <c r="B2">
        <f>1+INT(LN(lambda*A2/$I$1)/LN(1-$I$2))</f>
        <v>2</v>
      </c>
      <c r="C2">
        <f>1-p*(1-rho)^B2</f>
        <v>0.8</v>
      </c>
      <c r="D2">
        <f>1-C2</f>
        <v>0.19999999999999996</v>
      </c>
      <c r="E2">
        <f t="shared" ref="E2:E10" si="0">A2*lambda</f>
        <v>0.4</v>
      </c>
      <c r="F2" t="s">
        <v>12</v>
      </c>
      <c r="I2" s="3">
        <v>0.5</v>
      </c>
    </row>
    <row r="3" spans="1:9" x14ac:dyDescent="0.2">
      <c r="A3">
        <v>2</v>
      </c>
      <c r="B3">
        <f>1+INT(LN((1-MAX((1-lambda*A3),0)/C2)/$I$1)/LN(1-$I$2))</f>
        <v>1</v>
      </c>
      <c r="C3">
        <f>C2*(1-p*(1-rho)^B3)</f>
        <v>0.48</v>
      </c>
      <c r="D3">
        <f t="shared" ref="D3:D10" si="1">1-C3</f>
        <v>0.52</v>
      </c>
      <c r="E3">
        <f t="shared" si="0"/>
        <v>0.8</v>
      </c>
      <c r="F3" t="s">
        <v>1</v>
      </c>
      <c r="I3" s="3">
        <v>0.4</v>
      </c>
    </row>
    <row r="4" spans="1:9" x14ac:dyDescent="0.2">
      <c r="A4">
        <v>3</v>
      </c>
      <c r="B4">
        <f t="shared" ref="B4:B10" si="2">1+INT(LN((1-MAX((1-lambda*A4),0)/C3)/$I$1)/LN(1-$I$2))</f>
        <v>0</v>
      </c>
      <c r="C4">
        <f t="shared" ref="C4:C10" si="3">C3*(1-p*(1-rho)^B4)</f>
        <v>9.5999999999999974E-2</v>
      </c>
      <c r="D4">
        <f t="shared" si="1"/>
        <v>0.90400000000000003</v>
      </c>
      <c r="E4">
        <f t="shared" si="0"/>
        <v>1.2000000000000002</v>
      </c>
    </row>
    <row r="5" spans="1:9" x14ac:dyDescent="0.2">
      <c r="A5">
        <v>4</v>
      </c>
      <c r="B5">
        <f t="shared" si="2"/>
        <v>0</v>
      </c>
      <c r="C5">
        <f t="shared" si="3"/>
        <v>1.9199999999999991E-2</v>
      </c>
      <c r="D5">
        <f t="shared" si="1"/>
        <v>0.98080000000000001</v>
      </c>
      <c r="E5">
        <f t="shared" si="0"/>
        <v>1.6</v>
      </c>
    </row>
    <row r="6" spans="1:9" x14ac:dyDescent="0.2">
      <c r="A6">
        <v>5</v>
      </c>
      <c r="B6">
        <f t="shared" si="2"/>
        <v>0</v>
      </c>
      <c r="C6">
        <f t="shared" si="3"/>
        <v>3.8399999999999975E-3</v>
      </c>
      <c r="D6">
        <f t="shared" si="1"/>
        <v>0.99616000000000005</v>
      </c>
      <c r="E6">
        <f t="shared" si="0"/>
        <v>2</v>
      </c>
    </row>
    <row r="7" spans="1:9" x14ac:dyDescent="0.2">
      <c r="A7">
        <v>6</v>
      </c>
      <c r="B7">
        <f t="shared" si="2"/>
        <v>0</v>
      </c>
      <c r="C7">
        <f t="shared" si="3"/>
        <v>7.6799999999999937E-4</v>
      </c>
      <c r="D7">
        <f t="shared" si="1"/>
        <v>0.99923200000000001</v>
      </c>
      <c r="E7">
        <f t="shared" si="0"/>
        <v>2.4000000000000004</v>
      </c>
    </row>
    <row r="8" spans="1:9" x14ac:dyDescent="0.2">
      <c r="A8">
        <v>7</v>
      </c>
      <c r="B8">
        <f t="shared" si="2"/>
        <v>0</v>
      </c>
      <c r="C8">
        <f t="shared" si="3"/>
        <v>1.5359999999999983E-4</v>
      </c>
      <c r="D8">
        <f t="shared" si="1"/>
        <v>0.99984640000000002</v>
      </c>
      <c r="E8">
        <f t="shared" si="0"/>
        <v>2.8000000000000003</v>
      </c>
    </row>
    <row r="9" spans="1:9" x14ac:dyDescent="0.2">
      <c r="A9">
        <v>8</v>
      </c>
      <c r="B9">
        <f t="shared" si="2"/>
        <v>0</v>
      </c>
      <c r="C9">
        <f t="shared" si="3"/>
        <v>3.0719999999999957E-5</v>
      </c>
      <c r="D9">
        <f t="shared" si="1"/>
        <v>0.99996927999999996</v>
      </c>
      <c r="E9">
        <f t="shared" si="0"/>
        <v>3.2</v>
      </c>
    </row>
    <row r="10" spans="1:9" x14ac:dyDescent="0.2">
      <c r="A10">
        <v>9</v>
      </c>
      <c r="B10">
        <f t="shared" si="2"/>
        <v>0</v>
      </c>
      <c r="C10">
        <f t="shared" si="3"/>
        <v>6.1439999999999898E-6</v>
      </c>
      <c r="D10">
        <f t="shared" si="1"/>
        <v>0.99999385600000001</v>
      </c>
      <c r="E10">
        <f t="shared" si="0"/>
        <v>3.6</v>
      </c>
    </row>
    <row r="11" spans="1:9" x14ac:dyDescent="0.2">
      <c r="A11" t="s">
        <v>4</v>
      </c>
      <c r="B11" s="1">
        <f>SUM(B2:B10)</f>
        <v>3</v>
      </c>
    </row>
    <row r="13" spans="1:9" ht="13.5" thickBot="1" x14ac:dyDescent="0.25"/>
    <row r="14" spans="1:9" ht="13.5" thickTop="1" x14ac:dyDescent="0.2">
      <c r="A14" s="13" t="s">
        <v>8</v>
      </c>
      <c r="B14" s="14"/>
      <c r="C14" s="14"/>
      <c r="D14" s="14"/>
      <c r="E14" s="15"/>
    </row>
    <row r="15" spans="1:9" x14ac:dyDescent="0.2">
      <c r="A15" s="16" t="s">
        <v>9</v>
      </c>
      <c r="B15" s="17"/>
      <c r="C15" s="17"/>
      <c r="D15" s="17"/>
      <c r="E15" s="18"/>
    </row>
    <row r="16" spans="1:9" ht="13.5" thickBot="1" x14ac:dyDescent="0.25">
      <c r="A16" s="19" t="s">
        <v>10</v>
      </c>
      <c r="B16" s="20"/>
      <c r="C16" s="20"/>
      <c r="D16" s="20"/>
      <c r="E16" s="21"/>
    </row>
    <row r="17" ht="13.5" thickTop="1" x14ac:dyDescent="0.2"/>
  </sheetData>
  <phoneticPr fontId="0" type="noConversion"/>
  <pageMargins left="0.75" right="0.75" top="1" bottom="1" header="0.5" footer="0.5"/>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8"/>
  <sheetViews>
    <sheetView workbookViewId="0">
      <selection activeCell="P10" sqref="P10"/>
    </sheetView>
  </sheetViews>
  <sheetFormatPr defaultRowHeight="12.75" x14ac:dyDescent="0.2"/>
  <cols>
    <col min="3" max="3" width="9.83203125" bestFit="1" customWidth="1"/>
  </cols>
  <sheetData>
    <row r="1" spans="1:13" x14ac:dyDescent="0.2">
      <c r="A1" t="s">
        <v>61</v>
      </c>
      <c r="B1" s="2">
        <f>M5</f>
        <v>0.9</v>
      </c>
      <c r="C1" s="61">
        <v>0</v>
      </c>
      <c r="D1" s="61">
        <v>1</v>
      </c>
      <c r="E1" s="61">
        <v>2</v>
      </c>
      <c r="F1" s="61">
        <v>3</v>
      </c>
      <c r="G1" s="61">
        <v>4</v>
      </c>
      <c r="J1" s="3">
        <v>1</v>
      </c>
      <c r="K1" t="s">
        <v>55</v>
      </c>
    </row>
    <row r="2" spans="1:13" x14ac:dyDescent="0.2">
      <c r="B2" s="61">
        <v>0</v>
      </c>
      <c r="C2">
        <f>(1-$J$1*(1-$J$2)^($B2-C$1))*C$14</f>
        <v>0</v>
      </c>
      <c r="H2" s="1">
        <f>1-$B$1+$B$1*MAX(C2:G2)</f>
        <v>9.9999999999999978E-2</v>
      </c>
      <c r="J2" s="3">
        <v>0.5</v>
      </c>
      <c r="K2" t="s">
        <v>56</v>
      </c>
    </row>
    <row r="3" spans="1:13" x14ac:dyDescent="0.2">
      <c r="B3" s="61">
        <v>1</v>
      </c>
      <c r="C3">
        <f t="shared" ref="C3:G6" si="0">(1-$J$1*(1-$J$2)^($B3-C$1))*C$14</f>
        <v>0.16666666666666663</v>
      </c>
      <c r="D3">
        <f t="shared" si="0"/>
        <v>0</v>
      </c>
      <c r="H3" s="1">
        <f>1-$B$1+$B$1*MAX(C3:G3)</f>
        <v>0.24999999999999994</v>
      </c>
    </row>
    <row r="4" spans="1:13" x14ac:dyDescent="0.2">
      <c r="B4" s="61">
        <v>2</v>
      </c>
      <c r="C4">
        <f t="shared" si="0"/>
        <v>0.24999999999999994</v>
      </c>
      <c r="D4">
        <f t="shared" si="0"/>
        <v>0.27777777777777773</v>
      </c>
      <c r="E4">
        <f t="shared" si="0"/>
        <v>0</v>
      </c>
      <c r="H4" s="1">
        <f>1-$B$1+$B$1*MAX(C4:G4)</f>
        <v>0.35</v>
      </c>
      <c r="J4" t="s">
        <v>58</v>
      </c>
      <c r="K4" t="s">
        <v>57</v>
      </c>
      <c r="L4" t="s">
        <v>59</v>
      </c>
      <c r="M4" t="s">
        <v>60</v>
      </c>
    </row>
    <row r="5" spans="1:13" x14ac:dyDescent="0.2">
      <c r="B5" s="61">
        <v>3</v>
      </c>
      <c r="C5">
        <f t="shared" si="0"/>
        <v>0.29166666666666663</v>
      </c>
      <c r="D5">
        <f t="shared" si="0"/>
        <v>0.41666666666666663</v>
      </c>
      <c r="E5">
        <f t="shared" si="0"/>
        <v>0.33333333333333331</v>
      </c>
      <c r="F5">
        <f t="shared" si="0"/>
        <v>0</v>
      </c>
      <c r="H5" s="1">
        <f>1-$B$1+$B$1*MAX(C5:G5)</f>
        <v>0.47499999999999998</v>
      </c>
      <c r="J5">
        <v>0</v>
      </c>
      <c r="K5" s="3">
        <v>0.1</v>
      </c>
      <c r="L5">
        <v>1</v>
      </c>
      <c r="M5">
        <f>L6/L5</f>
        <v>0.9</v>
      </c>
    </row>
    <row r="6" spans="1:13" x14ac:dyDescent="0.2">
      <c r="B6" s="61">
        <v>4</v>
      </c>
      <c r="C6">
        <f t="shared" si="0"/>
        <v>0.31249999999999994</v>
      </c>
      <c r="D6">
        <f t="shared" si="0"/>
        <v>0.48611111111111105</v>
      </c>
      <c r="E6">
        <f t="shared" si="0"/>
        <v>0.5</v>
      </c>
      <c r="F6">
        <f t="shared" si="0"/>
        <v>0.375</v>
      </c>
      <c r="G6">
        <f t="shared" si="0"/>
        <v>0</v>
      </c>
      <c r="H6" s="1">
        <f>1-$B$1+$B$1*MAX(C6:G6)</f>
        <v>0.55000000000000004</v>
      </c>
      <c r="J6">
        <v>1</v>
      </c>
      <c r="K6" s="3">
        <v>0.3</v>
      </c>
      <c r="L6">
        <f>L5-K5</f>
        <v>0.9</v>
      </c>
      <c r="M6">
        <f>L7/L6</f>
        <v>0.66666666666666674</v>
      </c>
    </row>
    <row r="7" spans="1:13" x14ac:dyDescent="0.2">
      <c r="C7">
        <f>H2</f>
        <v>9.9999999999999978E-2</v>
      </c>
      <c r="D7">
        <f>H3</f>
        <v>0.24999999999999994</v>
      </c>
      <c r="E7">
        <f>H4</f>
        <v>0.35</v>
      </c>
      <c r="F7">
        <f>H5</f>
        <v>0.47499999999999998</v>
      </c>
      <c r="G7">
        <f>H6</f>
        <v>0.55000000000000004</v>
      </c>
      <c r="J7">
        <v>2</v>
      </c>
      <c r="K7" s="3">
        <v>0.4</v>
      </c>
      <c r="L7">
        <f>L6-K6</f>
        <v>0.60000000000000009</v>
      </c>
      <c r="M7">
        <f>L8/L7</f>
        <v>0.33333333333333337</v>
      </c>
    </row>
    <row r="8" spans="1:13" x14ac:dyDescent="0.2">
      <c r="A8" t="s">
        <v>62</v>
      </c>
      <c r="B8" s="2">
        <f>M6</f>
        <v>0.66666666666666674</v>
      </c>
      <c r="C8" s="61">
        <v>0</v>
      </c>
      <c r="D8" s="61">
        <v>1</v>
      </c>
      <c r="E8" s="61">
        <v>2</v>
      </c>
      <c r="F8" s="61">
        <v>3</v>
      </c>
      <c r="G8" s="61">
        <v>4</v>
      </c>
      <c r="J8" s="2">
        <v>3</v>
      </c>
      <c r="K8" s="3">
        <v>0.2</v>
      </c>
      <c r="L8">
        <f>L7-K7</f>
        <v>0.20000000000000007</v>
      </c>
      <c r="M8">
        <v>0</v>
      </c>
    </row>
    <row r="9" spans="1:13" x14ac:dyDescent="0.2">
      <c r="B9" s="61">
        <v>0</v>
      </c>
      <c r="C9">
        <f>(1-$J$1*(1-$J$2)^($B9-C$8))*C$21</f>
        <v>0</v>
      </c>
      <c r="H9" s="1">
        <f>1-$B$8+$B$8*MAX(C9:G9)</f>
        <v>0.33333333333333326</v>
      </c>
    </row>
    <row r="10" spans="1:13" x14ac:dyDescent="0.2">
      <c r="B10" s="61">
        <v>1</v>
      </c>
      <c r="C10">
        <f t="shared" ref="C10:G13" si="1">(1-$J$1*(1-$J$2)^($B10-C$8))*C$21</f>
        <v>0.33333333333333331</v>
      </c>
      <c r="D10">
        <f t="shared" si="1"/>
        <v>0</v>
      </c>
      <c r="H10" s="1">
        <f>1-$B$8+$B$8*MAX(C10:G10)</f>
        <v>0.55555555555555547</v>
      </c>
    </row>
    <row r="11" spans="1:13" x14ac:dyDescent="0.2">
      <c r="B11" s="61">
        <v>2</v>
      </c>
      <c r="C11">
        <f t="shared" si="1"/>
        <v>0.5</v>
      </c>
      <c r="D11">
        <f t="shared" si="1"/>
        <v>0.41666666666666663</v>
      </c>
      <c r="E11">
        <f t="shared" si="1"/>
        <v>0</v>
      </c>
      <c r="H11" s="1">
        <f>1-$B$8+$B$8*MAX(C11:G11)</f>
        <v>0.66666666666666663</v>
      </c>
    </row>
    <row r="12" spans="1:13" x14ac:dyDescent="0.2">
      <c r="B12" s="61">
        <v>3</v>
      </c>
      <c r="C12">
        <f t="shared" si="1"/>
        <v>0.58333333333333326</v>
      </c>
      <c r="D12">
        <f t="shared" si="1"/>
        <v>0.625</v>
      </c>
      <c r="E12">
        <f t="shared" si="1"/>
        <v>0.45833333333333331</v>
      </c>
      <c r="F12">
        <f t="shared" si="1"/>
        <v>0</v>
      </c>
      <c r="H12" s="1">
        <f>1-$B$8+$B$8*MAX(C12:G12)</f>
        <v>0.75</v>
      </c>
    </row>
    <row r="13" spans="1:13" x14ac:dyDescent="0.2">
      <c r="B13" s="61">
        <v>4</v>
      </c>
      <c r="C13">
        <f t="shared" si="1"/>
        <v>0.625</v>
      </c>
      <c r="D13">
        <f t="shared" si="1"/>
        <v>0.72916666666666663</v>
      </c>
      <c r="E13">
        <f t="shared" si="1"/>
        <v>0.6875</v>
      </c>
      <c r="F13">
        <f t="shared" si="1"/>
        <v>0.47916666666666663</v>
      </c>
      <c r="G13">
        <f t="shared" si="1"/>
        <v>0</v>
      </c>
      <c r="H13" s="1">
        <f>1-$B$8+$B$8*MAX(C13:G13)</f>
        <v>0.81944444444444442</v>
      </c>
    </row>
    <row r="14" spans="1:13" x14ac:dyDescent="0.2">
      <c r="C14">
        <f>H9</f>
        <v>0.33333333333333326</v>
      </c>
      <c r="D14">
        <f>H10</f>
        <v>0.55555555555555547</v>
      </c>
      <c r="E14">
        <f>H11</f>
        <v>0.66666666666666663</v>
      </c>
      <c r="F14">
        <f>H12</f>
        <v>0.75</v>
      </c>
      <c r="G14">
        <f>H13</f>
        <v>0.81944444444444442</v>
      </c>
    </row>
    <row r="15" spans="1:13" x14ac:dyDescent="0.2">
      <c r="A15" t="s">
        <v>63</v>
      </c>
      <c r="B15" s="2">
        <f>M7</f>
        <v>0.33333333333333337</v>
      </c>
      <c r="C15" s="61">
        <v>0</v>
      </c>
      <c r="D15" s="61">
        <v>1</v>
      </c>
      <c r="E15" s="61">
        <v>2</v>
      </c>
      <c r="F15" s="61">
        <v>3</v>
      </c>
      <c r="G15" s="61">
        <v>4</v>
      </c>
    </row>
    <row r="16" spans="1:13" x14ac:dyDescent="0.2">
      <c r="B16" s="61">
        <v>0</v>
      </c>
      <c r="C16">
        <f>(1-$J$1*(1-$J$2)^($B16-C$15))*C$28</f>
        <v>0</v>
      </c>
      <c r="H16" s="1">
        <f>1-$B$15+$B$15*MAX(C16:G16)</f>
        <v>0.66666666666666663</v>
      </c>
    </row>
    <row r="17" spans="1:8" x14ac:dyDescent="0.2">
      <c r="B17" s="61">
        <v>1</v>
      </c>
      <c r="C17">
        <f t="shared" ref="C17:G20" si="2">(1-$J$1*(1-$J$2)^($B17-C$15))*C$28</f>
        <v>0.5</v>
      </c>
      <c r="D17">
        <f t="shared" si="2"/>
        <v>0</v>
      </c>
      <c r="H17" s="1">
        <f>1-$B$15+$B$15*MAX(C17:G17)</f>
        <v>0.83333333333333326</v>
      </c>
    </row>
    <row r="18" spans="1:8" x14ac:dyDescent="0.2">
      <c r="B18" s="61">
        <v>2</v>
      </c>
      <c r="C18">
        <f t="shared" si="2"/>
        <v>0.75</v>
      </c>
      <c r="D18">
        <f t="shared" si="2"/>
        <v>0.5</v>
      </c>
      <c r="E18">
        <f t="shared" si="2"/>
        <v>0</v>
      </c>
      <c r="H18" s="1">
        <f>1-$B$15+$B$15*MAX(C18:G18)</f>
        <v>0.91666666666666663</v>
      </c>
    </row>
    <row r="19" spans="1:8" x14ac:dyDescent="0.2">
      <c r="B19" s="61">
        <v>3</v>
      </c>
      <c r="C19">
        <f t="shared" si="2"/>
        <v>0.875</v>
      </c>
      <c r="D19">
        <f t="shared" si="2"/>
        <v>0.75</v>
      </c>
      <c r="E19">
        <f t="shared" si="2"/>
        <v>0.5</v>
      </c>
      <c r="F19">
        <f t="shared" si="2"/>
        <v>0</v>
      </c>
      <c r="H19" s="1">
        <f>1-$B$15+$B$15*MAX(C19:G19)</f>
        <v>0.95833333333333326</v>
      </c>
    </row>
    <row r="20" spans="1:8" x14ac:dyDescent="0.2">
      <c r="B20" s="61">
        <v>4</v>
      </c>
      <c r="C20">
        <f t="shared" si="2"/>
        <v>0.9375</v>
      </c>
      <c r="D20">
        <f t="shared" si="2"/>
        <v>0.875</v>
      </c>
      <c r="E20">
        <f t="shared" si="2"/>
        <v>0.75</v>
      </c>
      <c r="F20">
        <f t="shared" si="2"/>
        <v>0.5</v>
      </c>
      <c r="G20">
        <f t="shared" si="2"/>
        <v>0</v>
      </c>
      <c r="H20" s="1">
        <f>1-$B$15+$B$15*MAX(C20:G20)</f>
        <v>0.97916666666666674</v>
      </c>
    </row>
    <row r="21" spans="1:8" x14ac:dyDescent="0.2">
      <c r="C21">
        <f>H16</f>
        <v>0.66666666666666663</v>
      </c>
      <c r="D21">
        <f>H17</f>
        <v>0.83333333333333326</v>
      </c>
      <c r="E21">
        <f>H18</f>
        <v>0.91666666666666663</v>
      </c>
      <c r="F21">
        <f>H19</f>
        <v>0.95833333333333326</v>
      </c>
      <c r="G21">
        <f>H20</f>
        <v>0.97916666666666674</v>
      </c>
    </row>
    <row r="22" spans="1:8" x14ac:dyDescent="0.2">
      <c r="A22" t="s">
        <v>64</v>
      </c>
      <c r="B22" s="2">
        <f>M8</f>
        <v>0</v>
      </c>
      <c r="C22" s="61">
        <v>0</v>
      </c>
      <c r="D22" s="61">
        <v>1</v>
      </c>
      <c r="E22" s="61">
        <v>2</v>
      </c>
      <c r="F22" s="61">
        <v>3</v>
      </c>
      <c r="G22" s="61">
        <v>4</v>
      </c>
    </row>
    <row r="23" spans="1:8" x14ac:dyDescent="0.2">
      <c r="B23" s="61">
        <v>0</v>
      </c>
      <c r="H23" s="1">
        <v>1</v>
      </c>
    </row>
    <row r="24" spans="1:8" x14ac:dyDescent="0.2">
      <c r="B24" s="61">
        <v>1</v>
      </c>
      <c r="H24" s="1">
        <v>1</v>
      </c>
    </row>
    <row r="25" spans="1:8" x14ac:dyDescent="0.2">
      <c r="B25" s="61">
        <v>2</v>
      </c>
      <c r="H25" s="1">
        <v>1</v>
      </c>
    </row>
    <row r="26" spans="1:8" x14ac:dyDescent="0.2">
      <c r="B26" s="61">
        <v>3</v>
      </c>
      <c r="H26" s="1">
        <v>1</v>
      </c>
    </row>
    <row r="27" spans="1:8" x14ac:dyDescent="0.2">
      <c r="B27" s="61">
        <v>4</v>
      </c>
      <c r="H27" s="1">
        <v>1</v>
      </c>
    </row>
    <row r="28" spans="1:8" x14ac:dyDescent="0.2">
      <c r="C28">
        <f>H23</f>
        <v>1</v>
      </c>
      <c r="D28">
        <f>H24</f>
        <v>1</v>
      </c>
      <c r="E28">
        <f>H25</f>
        <v>1</v>
      </c>
      <c r="F28">
        <f>H26</f>
        <v>1</v>
      </c>
      <c r="G28">
        <f>H27</f>
        <v>1</v>
      </c>
    </row>
  </sheetData>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EVA</vt:lpstr>
      <vt:lpstr>DPShooter</vt:lpstr>
      <vt:lpstr>3CAL </vt:lpstr>
      <vt:lpstr>Optimal</vt:lpstr>
      <vt:lpstr>LP_Upper</vt:lpstr>
      <vt:lpstr>DPDefender</vt:lpstr>
      <vt:lpstr>MaxCost</vt:lpstr>
      <vt:lpstr>PrimRead</vt:lpstr>
      <vt:lpstr>Exercise 6</vt:lpstr>
      <vt:lpstr>DPDefender!_use1</vt:lpstr>
      <vt:lpstr>DPShooter!_use1</vt:lpstr>
      <vt:lpstr>DPDefender!_use2</vt:lpstr>
      <vt:lpstr>DPShooter!_use2</vt:lpstr>
      <vt:lpstr>DPDefender!_use3</vt:lpstr>
      <vt:lpstr>DPShooter!_use3</vt:lpstr>
      <vt:lpstr>DPDefender!_use4</vt:lpstr>
      <vt:lpstr>DPShooter!_use4</vt:lpstr>
      <vt:lpstr>ALP</vt:lpstr>
      <vt:lpstr>DPDefender!func1</vt:lpstr>
      <vt:lpstr>DPShooter!func1</vt:lpstr>
      <vt:lpstr>DPDefender!func2</vt:lpstr>
      <vt:lpstr>DPShooter!func2</vt:lpstr>
      <vt:lpstr>DPDefender!func3</vt:lpstr>
      <vt:lpstr>DPShooter!func3</vt:lpstr>
      <vt:lpstr>DPDefender!func4</vt:lpstr>
      <vt:lpstr>DPShooter!func4</vt:lpstr>
      <vt:lpstr>lambda</vt:lpstr>
      <vt:lpstr>p</vt:lpstr>
      <vt:lpstr>rho</vt:lpstr>
      <vt:lpstr>USELP</vt:lpstr>
      <vt:lpstr>VLP</vt:lpstr>
      <vt:lpstr>XLP</vt:lpstr>
      <vt:lpstr>YLP</vt:lpstr>
      <vt:lpstr>ZLP</vt:lpstr>
    </vt:vector>
  </TitlesOfParts>
  <Company>NPS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R. Washburn</dc:creator>
  <cp:lastModifiedBy>arwashbu</cp:lastModifiedBy>
  <dcterms:created xsi:type="dcterms:W3CDTF">2000-01-10T23:03:10Z</dcterms:created>
  <dcterms:modified xsi:type="dcterms:W3CDTF">2018-07-17T21:51:29Z</dcterms:modified>
</cp:coreProperties>
</file>